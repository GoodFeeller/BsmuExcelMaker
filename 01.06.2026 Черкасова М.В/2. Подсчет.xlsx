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!!! ДЕЖУРСТВО специалистов ООСО\ИЮНЬ\01.06.2026 Черкасова М.В\"/>
    </mc:Choice>
  </mc:AlternateContent>
  <xr:revisionPtr revIDLastSave="0" documentId="13_ncr:1_{B6ADCE4B-E815-456A-82D9-C4CA8FE8C4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2" l="1"/>
  <c r="L21" i="2"/>
  <c r="M21" i="2"/>
  <c r="N21" i="2"/>
  <c r="O21" i="2"/>
  <c r="P21" i="2"/>
  <c r="Q21" i="2"/>
  <c r="R21" i="2"/>
  <c r="S21" i="2"/>
  <c r="J21" i="2"/>
  <c r="H21" i="2"/>
  <c r="L22" i="2" l="1"/>
</calcChain>
</file>

<file path=xl/sharedStrings.xml><?xml version="1.0" encoding="utf-8"?>
<sst xmlns="http://schemas.openxmlformats.org/spreadsheetml/2006/main" count="112" uniqueCount="57">
  <si>
    <t>ПК</t>
  </si>
  <si>
    <t>ПП</t>
  </si>
  <si>
    <t>КО</t>
  </si>
  <si>
    <t>Время</t>
  </si>
  <si>
    <t>План</t>
  </si>
  <si>
    <t>Кол-во посещений, по факту</t>
  </si>
  <si>
    <t>Кабинет</t>
  </si>
  <si>
    <t>И</t>
  </si>
  <si>
    <t>Обучающиеся</t>
  </si>
  <si>
    <t>Название кафедры</t>
  </si>
  <si>
    <t>ФИО преподавателя</t>
  </si>
  <si>
    <t>Прочее</t>
  </si>
  <si>
    <t>Студенты МФИУ</t>
  </si>
  <si>
    <t>Кол-во обучающихся (подушно), по факту</t>
  </si>
  <si>
    <t>Дата</t>
  </si>
  <si>
    <r>
      <t xml:space="preserve"> Наименование образовательной программы </t>
    </r>
    <r>
      <rPr>
        <sz val="10"/>
        <color rgb="FFFF0000"/>
        <rFont val="Times New Roman"/>
        <family val="1"/>
        <charset val="204"/>
      </rPr>
      <t xml:space="preserve">(ИПКиПКЗ, БГМУ) </t>
    </r>
    <r>
      <rPr>
        <sz val="10"/>
        <color theme="1"/>
        <rFont val="Times New Roman"/>
        <family val="1"/>
        <charset val="204"/>
      </rPr>
      <t>/</t>
    </r>
    <r>
      <rPr>
        <sz val="10"/>
        <color rgb="FFFF0000"/>
        <rFont val="Times New Roman"/>
        <family val="1"/>
        <charset val="204"/>
      </rPr>
      <t xml:space="preserve">     </t>
    </r>
    <r>
      <rPr>
        <sz val="10"/>
        <color theme="1"/>
        <rFont val="Times New Roman"/>
        <family val="1"/>
        <charset val="204"/>
      </rPr>
      <t xml:space="preserve">                         Тема учебного занятия </t>
    </r>
    <r>
      <rPr>
        <sz val="10"/>
        <color rgb="FFFF0000"/>
        <rFont val="Times New Roman"/>
        <family val="1"/>
        <charset val="204"/>
      </rPr>
      <t>(БГМУ)</t>
    </r>
    <r>
      <rPr>
        <sz val="10"/>
        <color theme="1"/>
        <rFont val="Times New Roman"/>
        <family val="1"/>
        <charset val="204"/>
      </rPr>
      <t xml:space="preserve">                                       </t>
    </r>
  </si>
  <si>
    <r>
      <t xml:space="preserve">№ образовательной программы </t>
    </r>
    <r>
      <rPr>
        <sz val="10"/>
        <color rgb="FFFF0000"/>
        <rFont val="Times New Roman"/>
        <family val="1"/>
        <charset val="204"/>
      </rPr>
      <t>(ПК, ПП)</t>
    </r>
    <r>
      <rPr>
        <sz val="10"/>
        <color theme="1"/>
        <rFont val="Times New Roman"/>
        <family val="1"/>
        <charset val="204"/>
      </rPr>
      <t xml:space="preserve">/№ курса, группы </t>
    </r>
    <r>
      <rPr>
        <sz val="10"/>
        <color rgb="FFFF0000"/>
        <rFont val="Times New Roman"/>
        <family val="1"/>
        <charset val="204"/>
      </rPr>
      <t>(БГМУ, ВМИ, МФИУ)</t>
    </r>
  </si>
  <si>
    <t>08.30-12.00</t>
  </si>
  <si>
    <t>Диагностика и лечение заболеваний носа и околоносовых пазух</t>
  </si>
  <si>
    <t>Оториноларингологии с курсом ПК и ПП БГМУ</t>
  </si>
  <si>
    <t>Чекан В.Л., Сидоренко И.В., Шулепова Э.А.</t>
  </si>
  <si>
    <t>09.00</t>
  </si>
  <si>
    <t>А</t>
  </si>
  <si>
    <t>Медсестры</t>
  </si>
  <si>
    <t>Азарова Е.Л.</t>
  </si>
  <si>
    <t>09.30-11.00</t>
  </si>
  <si>
    <t>Тренировка преподавателей</t>
  </si>
  <si>
    <t>Онкологии с курсом ПК и ПП БГМУ</t>
  </si>
  <si>
    <t>Шепетько М.Н.</t>
  </si>
  <si>
    <t>12.50-15.50</t>
  </si>
  <si>
    <t>Медицинская профилактика</t>
  </si>
  <si>
    <t>Организации здравоохранения ИПКиПКЗ</t>
  </si>
  <si>
    <t>Долгошей Т.С.</t>
  </si>
  <si>
    <t>09.00-12.00</t>
  </si>
  <si>
    <t>Критические состояния в неонатологии</t>
  </si>
  <si>
    <t>Репродуктивного здоровья, перинатологии и медицинской генетики ИПКиПКЗ</t>
  </si>
  <si>
    <t>Лемешко Ю.И.</t>
  </si>
  <si>
    <t>12.30-15.20</t>
  </si>
  <si>
    <t>09.00-15.00</t>
  </si>
  <si>
    <t>10.35-12.35</t>
  </si>
  <si>
    <t>БГМУ</t>
  </si>
  <si>
    <t>Лечебное дело</t>
  </si>
  <si>
    <t>Акушерства и гинекологии с курсом ПК и ПП БГМУ</t>
  </si>
  <si>
    <t>Белонович К.В.</t>
  </si>
  <si>
    <t>Ультразвуковая диагностика</t>
  </si>
  <si>
    <t>Ультразвуковой диагностики ИПКиПКЗ</t>
  </si>
  <si>
    <t>Ивановская М.И.</t>
  </si>
  <si>
    <t>09.00-13.30</t>
  </si>
  <si>
    <t>Текущая аттестация</t>
  </si>
  <si>
    <t>1-я детских болезней БГМУ</t>
  </si>
  <si>
    <t>Зайцева Е.С., Сапотницкий А.В., Батян Г.М., Белькевич А.Г.</t>
  </si>
  <si>
    <t>13.30-15.00</t>
  </si>
  <si>
    <t>14.00</t>
  </si>
  <si>
    <t>09.00-10.30</t>
  </si>
  <si>
    <t>неявка</t>
  </si>
  <si>
    <t>Студенты (БГМУ, СО)</t>
  </si>
  <si>
    <t>Аттестация, контроль знаний, подтверждение диплома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</si>
</sst>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3" fillId="3" borderId="1" xfId="0" applyFont="1" applyFill="1" applyBorder="1"/>
    <xf numFmtId="49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458C62A8-95B6-4819-81E6-E912A5062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921D-D189-403A-934D-FD04DC6DDC5B}">
  <sheetPr>
    <pageSetUpPr fitToPage="1"/>
  </sheetPr>
  <dimension ref="A1:T23"/>
  <sheetViews>
    <sheetView tabSelected="1" zoomScale="70" zoomScaleNormal="70" workbookViewId="0">
      <pane ySplit="1" topLeftCell="A2" activePane="bottomLeft" state="frozen"/>
      <selection pane="bottomLeft" activeCell="S23" sqref="A1:S23"/>
    </sheetView>
  </sheetViews>
  <sheetFormatPr defaultRowHeight="12.75" x14ac:dyDescent="0.2"/>
  <cols>
    <col min="1" max="1" width="8.7109375" style="2" customWidth="1"/>
    <col min="2" max="2" width="10.5703125" style="2" customWidth="1"/>
    <col min="3" max="3" width="14.140625" style="2" customWidth="1"/>
    <col min="4" max="4" width="15.85546875" style="2" customWidth="1"/>
    <col min="5" max="5" width="27.42578125" style="3" customWidth="1"/>
    <col min="6" max="6" width="28.28515625" style="2" customWidth="1"/>
    <col min="7" max="7" width="16.85546875" style="2" customWidth="1"/>
    <col min="8" max="8" width="9.140625" style="2"/>
    <col min="9" max="9" width="15.28515625" style="2" customWidth="1"/>
    <col min="10" max="10" width="11.28515625" style="2" customWidth="1"/>
    <col min="11" max="11" width="11.7109375" style="2" customWidth="1"/>
    <col min="12" max="15" width="9.140625" style="2"/>
    <col min="16" max="16" width="11.28515625" style="2" customWidth="1"/>
    <col min="17" max="16384" width="9.140625" style="2"/>
  </cols>
  <sheetData>
    <row r="1" spans="1:20" ht="74.25" customHeight="1" x14ac:dyDescent="0.2">
      <c r="A1" s="1" t="s">
        <v>6</v>
      </c>
      <c r="B1" s="1" t="s">
        <v>14</v>
      </c>
      <c r="C1" s="1" t="s">
        <v>3</v>
      </c>
      <c r="D1" s="1" t="s">
        <v>8</v>
      </c>
      <c r="E1" s="4" t="s">
        <v>16</v>
      </c>
      <c r="F1" s="1" t="s">
        <v>15</v>
      </c>
      <c r="G1" s="1" t="s">
        <v>9</v>
      </c>
      <c r="H1" s="1" t="s">
        <v>4</v>
      </c>
      <c r="I1" s="1" t="s">
        <v>10</v>
      </c>
      <c r="J1" s="1" t="s">
        <v>5</v>
      </c>
      <c r="K1" s="1" t="s">
        <v>13</v>
      </c>
      <c r="L1" s="1" t="s">
        <v>2</v>
      </c>
      <c r="M1" s="1" t="s">
        <v>7</v>
      </c>
      <c r="N1" s="1" t="s">
        <v>0</v>
      </c>
      <c r="O1" s="1" t="s">
        <v>1</v>
      </c>
      <c r="P1" s="1" t="s">
        <v>56</v>
      </c>
      <c r="Q1" s="1" t="s">
        <v>55</v>
      </c>
      <c r="R1" s="1" t="s">
        <v>12</v>
      </c>
      <c r="S1" s="1" t="s">
        <v>11</v>
      </c>
    </row>
    <row r="2" spans="1:20" ht="60" x14ac:dyDescent="0.2">
      <c r="A2" s="10">
        <v>202</v>
      </c>
      <c r="B2" s="11">
        <v>46174</v>
      </c>
      <c r="C2" s="12" t="s">
        <v>17</v>
      </c>
      <c r="D2" s="13" t="s">
        <v>0</v>
      </c>
      <c r="E2" s="13">
        <v>738</v>
      </c>
      <c r="F2" s="14" t="s">
        <v>18</v>
      </c>
      <c r="G2" s="15" t="s">
        <v>19</v>
      </c>
      <c r="H2" s="16">
        <v>25</v>
      </c>
      <c r="I2" s="15" t="s">
        <v>20</v>
      </c>
      <c r="J2" s="17">
        <v>29</v>
      </c>
      <c r="K2" s="17">
        <v>29</v>
      </c>
      <c r="L2" s="17"/>
      <c r="M2" s="17"/>
      <c r="N2" s="17">
        <v>29</v>
      </c>
      <c r="O2" s="17"/>
      <c r="P2" s="17"/>
      <c r="Q2" s="17"/>
      <c r="R2" s="17"/>
      <c r="S2" s="17"/>
    </row>
    <row r="3" spans="1:20" ht="15" x14ac:dyDescent="0.2">
      <c r="A3" s="16">
        <v>203</v>
      </c>
      <c r="B3" s="11">
        <v>46174</v>
      </c>
      <c r="C3" s="12" t="s">
        <v>21</v>
      </c>
      <c r="D3" s="16" t="s">
        <v>22</v>
      </c>
      <c r="E3" s="16"/>
      <c r="F3" s="15" t="s">
        <v>23</v>
      </c>
      <c r="G3" s="15"/>
      <c r="H3" s="16">
        <v>10</v>
      </c>
      <c r="I3" s="15" t="s">
        <v>24</v>
      </c>
      <c r="J3" s="17">
        <v>25</v>
      </c>
      <c r="K3" s="17">
        <v>25</v>
      </c>
      <c r="L3" s="17"/>
      <c r="M3" s="17"/>
      <c r="N3" s="17"/>
      <c r="O3" s="17"/>
      <c r="P3" s="17">
        <v>25</v>
      </c>
      <c r="Q3" s="17"/>
      <c r="R3" s="17"/>
      <c r="S3" s="17"/>
    </row>
    <row r="4" spans="1:20" ht="45" x14ac:dyDescent="0.2">
      <c r="A4" s="10">
        <v>301</v>
      </c>
      <c r="B4" s="11">
        <v>46174</v>
      </c>
      <c r="C4" s="12" t="s">
        <v>25</v>
      </c>
      <c r="D4" s="18" t="s">
        <v>26</v>
      </c>
      <c r="E4" s="13"/>
      <c r="F4" s="14"/>
      <c r="G4" s="15" t="s">
        <v>27</v>
      </c>
      <c r="H4" s="16">
        <v>1</v>
      </c>
      <c r="I4" s="15" t="s">
        <v>28</v>
      </c>
      <c r="J4" s="17">
        <v>0</v>
      </c>
      <c r="K4" s="17"/>
      <c r="L4" s="17"/>
      <c r="M4" s="17"/>
      <c r="N4" s="17"/>
      <c r="O4" s="17"/>
      <c r="P4" s="17"/>
      <c r="Q4" s="17"/>
      <c r="R4" s="17"/>
      <c r="S4" s="17"/>
      <c r="T4" s="2" t="s">
        <v>54</v>
      </c>
    </row>
    <row r="5" spans="1:20" ht="45" x14ac:dyDescent="0.2">
      <c r="A5" s="10">
        <v>402</v>
      </c>
      <c r="B5" s="11">
        <v>46174</v>
      </c>
      <c r="C5" s="12" t="s">
        <v>29</v>
      </c>
      <c r="D5" s="18" t="s">
        <v>0</v>
      </c>
      <c r="E5" s="13">
        <v>235</v>
      </c>
      <c r="F5" s="14" t="s">
        <v>30</v>
      </c>
      <c r="G5" s="15" t="s">
        <v>31</v>
      </c>
      <c r="H5" s="16">
        <v>10</v>
      </c>
      <c r="I5" s="15" t="s">
        <v>32</v>
      </c>
      <c r="J5" s="17">
        <v>9</v>
      </c>
      <c r="K5" s="17">
        <v>9</v>
      </c>
      <c r="L5" s="17"/>
      <c r="M5" s="17"/>
      <c r="N5" s="17">
        <v>9</v>
      </c>
      <c r="O5" s="17"/>
      <c r="P5" s="17"/>
      <c r="Q5" s="17"/>
      <c r="R5" s="17"/>
      <c r="S5" s="17"/>
    </row>
    <row r="6" spans="1:20" ht="90" x14ac:dyDescent="0.2">
      <c r="A6" s="16">
        <v>405</v>
      </c>
      <c r="B6" s="11">
        <v>46174</v>
      </c>
      <c r="C6" s="19" t="s">
        <v>33</v>
      </c>
      <c r="D6" s="13" t="s">
        <v>0</v>
      </c>
      <c r="E6" s="16">
        <v>343</v>
      </c>
      <c r="F6" s="20" t="s">
        <v>34</v>
      </c>
      <c r="G6" s="15" t="s">
        <v>35</v>
      </c>
      <c r="H6" s="16">
        <v>8</v>
      </c>
      <c r="I6" s="21" t="s">
        <v>36</v>
      </c>
      <c r="J6" s="17">
        <v>8</v>
      </c>
      <c r="K6" s="17">
        <v>8</v>
      </c>
      <c r="L6" s="17"/>
      <c r="M6" s="17"/>
      <c r="N6" s="17">
        <v>8</v>
      </c>
      <c r="O6" s="17"/>
      <c r="P6" s="17"/>
      <c r="Q6" s="17"/>
      <c r="R6" s="17"/>
      <c r="S6" s="17"/>
    </row>
    <row r="7" spans="1:20" ht="60" x14ac:dyDescent="0.2">
      <c r="A7" s="10">
        <v>405</v>
      </c>
      <c r="B7" s="11">
        <v>46174</v>
      </c>
      <c r="C7" s="12" t="s">
        <v>37</v>
      </c>
      <c r="D7" s="13" t="s">
        <v>0</v>
      </c>
      <c r="E7" s="13">
        <v>738</v>
      </c>
      <c r="F7" s="14" t="s">
        <v>18</v>
      </c>
      <c r="G7" s="15" t="s">
        <v>19</v>
      </c>
      <c r="H7" s="16">
        <v>25</v>
      </c>
      <c r="I7" s="15" t="s">
        <v>20</v>
      </c>
      <c r="J7" s="17">
        <v>29</v>
      </c>
      <c r="K7" s="17"/>
      <c r="L7" s="17"/>
      <c r="M7" s="17"/>
      <c r="N7" s="17"/>
      <c r="O7" s="17"/>
      <c r="P7" s="17"/>
      <c r="Q7" s="17"/>
      <c r="R7" s="17"/>
      <c r="S7" s="17"/>
    </row>
    <row r="8" spans="1:20" ht="90" x14ac:dyDescent="0.2">
      <c r="A8" s="16">
        <v>502</v>
      </c>
      <c r="B8" s="11">
        <v>46174</v>
      </c>
      <c r="C8" s="19" t="s">
        <v>38</v>
      </c>
      <c r="D8" s="16" t="s">
        <v>0</v>
      </c>
      <c r="E8" s="16">
        <v>343</v>
      </c>
      <c r="F8" s="20" t="s">
        <v>34</v>
      </c>
      <c r="G8" s="15" t="s">
        <v>35</v>
      </c>
      <c r="H8" s="16">
        <v>8</v>
      </c>
      <c r="I8" s="21" t="s">
        <v>36</v>
      </c>
      <c r="J8" s="17">
        <v>8</v>
      </c>
      <c r="K8" s="17"/>
      <c r="L8" s="17"/>
      <c r="M8" s="17"/>
      <c r="N8" s="17"/>
      <c r="O8" s="17"/>
      <c r="P8" s="17"/>
      <c r="Q8" s="17"/>
      <c r="R8" s="17"/>
      <c r="S8" s="17"/>
    </row>
    <row r="9" spans="1:20" ht="60" x14ac:dyDescent="0.2">
      <c r="A9" s="10">
        <v>507</v>
      </c>
      <c r="B9" s="11">
        <v>46174</v>
      </c>
      <c r="C9" s="12" t="s">
        <v>37</v>
      </c>
      <c r="D9" s="13" t="s">
        <v>0</v>
      </c>
      <c r="E9" s="13">
        <v>738</v>
      </c>
      <c r="F9" s="14" t="s">
        <v>18</v>
      </c>
      <c r="G9" s="15" t="s">
        <v>19</v>
      </c>
      <c r="H9" s="16">
        <v>25</v>
      </c>
      <c r="I9" s="15" t="s">
        <v>20</v>
      </c>
      <c r="J9" s="17">
        <v>29</v>
      </c>
      <c r="K9" s="17"/>
      <c r="L9" s="17"/>
      <c r="M9" s="17"/>
      <c r="N9" s="17"/>
      <c r="O9" s="17"/>
      <c r="P9" s="17"/>
      <c r="Q9" s="17"/>
      <c r="R9" s="17"/>
      <c r="S9" s="17"/>
    </row>
    <row r="10" spans="1:20" ht="45" x14ac:dyDescent="0.2">
      <c r="A10" s="16">
        <v>508</v>
      </c>
      <c r="B10" s="11">
        <v>46174</v>
      </c>
      <c r="C10" s="19" t="s">
        <v>53</v>
      </c>
      <c r="D10" s="16" t="s">
        <v>1</v>
      </c>
      <c r="E10" s="16">
        <v>436</v>
      </c>
      <c r="F10" s="21" t="s">
        <v>44</v>
      </c>
      <c r="G10" s="15" t="s">
        <v>45</v>
      </c>
      <c r="H10" s="16"/>
      <c r="I10" s="15" t="s">
        <v>46</v>
      </c>
      <c r="J10" s="17">
        <v>6</v>
      </c>
      <c r="K10" s="17"/>
      <c r="L10" s="17"/>
      <c r="M10" s="17"/>
      <c r="N10" s="17"/>
      <c r="O10" s="17"/>
      <c r="P10" s="17"/>
      <c r="Q10" s="17"/>
      <c r="R10" s="17"/>
      <c r="S10" s="17"/>
    </row>
    <row r="11" spans="1:20" ht="60" x14ac:dyDescent="0.2">
      <c r="A11" s="16">
        <v>508</v>
      </c>
      <c r="B11" s="11">
        <v>46174</v>
      </c>
      <c r="C11" s="12" t="s">
        <v>39</v>
      </c>
      <c r="D11" s="22" t="s">
        <v>40</v>
      </c>
      <c r="E11" s="22">
        <v>1404</v>
      </c>
      <c r="F11" s="15" t="s">
        <v>41</v>
      </c>
      <c r="G11" s="15" t="s">
        <v>42</v>
      </c>
      <c r="H11" s="16">
        <v>9</v>
      </c>
      <c r="I11" s="15" t="s">
        <v>43</v>
      </c>
      <c r="J11" s="17">
        <v>8</v>
      </c>
      <c r="K11" s="17">
        <v>8</v>
      </c>
      <c r="L11" s="17"/>
      <c r="M11" s="17"/>
      <c r="N11" s="17"/>
      <c r="O11" s="17"/>
      <c r="P11" s="17"/>
      <c r="Q11" s="17">
        <v>8</v>
      </c>
      <c r="R11" s="17"/>
      <c r="S11" s="17"/>
    </row>
    <row r="12" spans="1:20" ht="45" x14ac:dyDescent="0.2">
      <c r="A12" s="16">
        <v>509</v>
      </c>
      <c r="B12" s="11">
        <v>46174</v>
      </c>
      <c r="C12" s="19" t="s">
        <v>33</v>
      </c>
      <c r="D12" s="16" t="s">
        <v>1</v>
      </c>
      <c r="E12" s="16">
        <v>436</v>
      </c>
      <c r="F12" s="21" t="s">
        <v>44</v>
      </c>
      <c r="G12" s="15" t="s">
        <v>45</v>
      </c>
      <c r="H12" s="16">
        <v>5</v>
      </c>
      <c r="I12" s="15" t="s">
        <v>46</v>
      </c>
      <c r="J12" s="17">
        <v>6</v>
      </c>
      <c r="K12" s="17">
        <v>6</v>
      </c>
      <c r="L12" s="17"/>
      <c r="M12" s="17"/>
      <c r="N12" s="17"/>
      <c r="O12" s="17">
        <v>6</v>
      </c>
      <c r="P12" s="17"/>
      <c r="Q12" s="17"/>
      <c r="R12" s="17"/>
      <c r="S12" s="17"/>
    </row>
    <row r="13" spans="1:20" ht="90" x14ac:dyDescent="0.2">
      <c r="A13" s="16">
        <v>602</v>
      </c>
      <c r="B13" s="11">
        <v>46174</v>
      </c>
      <c r="C13" s="19" t="s">
        <v>51</v>
      </c>
      <c r="D13" s="16" t="s">
        <v>0</v>
      </c>
      <c r="E13" s="16">
        <v>343</v>
      </c>
      <c r="F13" s="20" t="s">
        <v>34</v>
      </c>
      <c r="G13" s="15" t="s">
        <v>35</v>
      </c>
      <c r="H13" s="16"/>
      <c r="I13" s="21" t="s">
        <v>36</v>
      </c>
      <c r="J13" s="17">
        <v>8</v>
      </c>
      <c r="K13" s="17"/>
      <c r="L13" s="17"/>
      <c r="M13" s="17"/>
      <c r="N13" s="17"/>
      <c r="O13" s="17"/>
      <c r="P13" s="17"/>
      <c r="Q13" s="17"/>
      <c r="R13" s="17"/>
      <c r="S13" s="17"/>
    </row>
    <row r="14" spans="1:20" ht="75" x14ac:dyDescent="0.2">
      <c r="A14" s="16">
        <v>602</v>
      </c>
      <c r="B14" s="11">
        <v>46174</v>
      </c>
      <c r="C14" s="12" t="s">
        <v>47</v>
      </c>
      <c r="D14" s="22" t="s">
        <v>7</v>
      </c>
      <c r="E14" s="16"/>
      <c r="F14" s="14" t="s">
        <v>48</v>
      </c>
      <c r="G14" s="15" t="s">
        <v>49</v>
      </c>
      <c r="H14" s="16">
        <v>40</v>
      </c>
      <c r="I14" s="15" t="s">
        <v>50</v>
      </c>
      <c r="J14" s="17">
        <v>45</v>
      </c>
      <c r="K14" s="17">
        <v>45</v>
      </c>
      <c r="L14" s="17"/>
      <c r="M14" s="17">
        <v>45</v>
      </c>
      <c r="N14" s="17"/>
      <c r="O14" s="17"/>
      <c r="P14" s="17"/>
      <c r="Q14" s="17"/>
      <c r="R14" s="17"/>
      <c r="S14" s="17"/>
    </row>
    <row r="15" spans="1:20" ht="75" x14ac:dyDescent="0.2">
      <c r="A15" s="16">
        <v>603</v>
      </c>
      <c r="B15" s="11">
        <v>46174</v>
      </c>
      <c r="C15" s="12" t="s">
        <v>47</v>
      </c>
      <c r="D15" s="22" t="s">
        <v>7</v>
      </c>
      <c r="E15" s="16"/>
      <c r="F15" s="14" t="s">
        <v>48</v>
      </c>
      <c r="G15" s="15" t="s">
        <v>49</v>
      </c>
      <c r="H15" s="16">
        <v>40</v>
      </c>
      <c r="I15" s="15" t="s">
        <v>50</v>
      </c>
      <c r="J15" s="17">
        <v>45</v>
      </c>
      <c r="K15" s="17"/>
      <c r="L15" s="17"/>
      <c r="M15" s="17"/>
      <c r="N15" s="17"/>
      <c r="O15" s="17"/>
      <c r="P15" s="17"/>
      <c r="Q15" s="17"/>
      <c r="R15" s="17"/>
      <c r="S15" s="17"/>
    </row>
    <row r="16" spans="1:20" ht="60" x14ac:dyDescent="0.2">
      <c r="A16" s="16">
        <v>606</v>
      </c>
      <c r="B16" s="11">
        <v>46174</v>
      </c>
      <c r="C16" s="12" t="s">
        <v>39</v>
      </c>
      <c r="D16" s="22" t="s">
        <v>40</v>
      </c>
      <c r="E16" s="22">
        <v>1404</v>
      </c>
      <c r="F16" s="15" t="s">
        <v>41</v>
      </c>
      <c r="G16" s="15" t="s">
        <v>42</v>
      </c>
      <c r="H16" s="16">
        <v>9</v>
      </c>
      <c r="I16" s="15" t="s">
        <v>43</v>
      </c>
      <c r="J16" s="17">
        <v>8</v>
      </c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75" x14ac:dyDescent="0.2">
      <c r="A17" s="16">
        <v>609</v>
      </c>
      <c r="B17" s="11">
        <v>46174</v>
      </c>
      <c r="C17" s="12" t="s">
        <v>47</v>
      </c>
      <c r="D17" s="22" t="s">
        <v>7</v>
      </c>
      <c r="E17" s="16"/>
      <c r="F17" s="14" t="s">
        <v>48</v>
      </c>
      <c r="G17" s="15" t="s">
        <v>49</v>
      </c>
      <c r="H17" s="16">
        <v>40</v>
      </c>
      <c r="I17" s="15" t="s">
        <v>50</v>
      </c>
      <c r="J17" s="17">
        <v>31</v>
      </c>
      <c r="K17" s="17">
        <v>31</v>
      </c>
      <c r="L17" s="17"/>
      <c r="M17" s="17">
        <v>31</v>
      </c>
      <c r="N17" s="17"/>
      <c r="O17" s="17"/>
      <c r="P17" s="17"/>
      <c r="Q17" s="17"/>
      <c r="R17" s="17"/>
      <c r="S17" s="17"/>
    </row>
    <row r="18" spans="1:19" ht="75" x14ac:dyDescent="0.2">
      <c r="A18" s="16">
        <v>610</v>
      </c>
      <c r="B18" s="11">
        <v>46174</v>
      </c>
      <c r="C18" s="12" t="s">
        <v>47</v>
      </c>
      <c r="D18" s="22" t="s">
        <v>7</v>
      </c>
      <c r="E18" s="16"/>
      <c r="F18" s="14" t="s">
        <v>48</v>
      </c>
      <c r="G18" s="15" t="s">
        <v>49</v>
      </c>
      <c r="H18" s="16">
        <v>40</v>
      </c>
      <c r="I18" s="15" t="s">
        <v>50</v>
      </c>
      <c r="J18" s="17">
        <v>31</v>
      </c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90" x14ac:dyDescent="0.2">
      <c r="A19" s="16">
        <v>610</v>
      </c>
      <c r="B19" s="11">
        <v>46174</v>
      </c>
      <c r="C19" s="19" t="s">
        <v>51</v>
      </c>
      <c r="D19" s="16" t="s">
        <v>0</v>
      </c>
      <c r="E19" s="16">
        <v>343</v>
      </c>
      <c r="F19" s="20" t="s">
        <v>34</v>
      </c>
      <c r="G19" s="15" t="s">
        <v>35</v>
      </c>
      <c r="H19" s="16">
        <v>8</v>
      </c>
      <c r="I19" s="21" t="s">
        <v>36</v>
      </c>
      <c r="J19" s="17">
        <v>8</v>
      </c>
      <c r="K19" s="17"/>
      <c r="L19" s="17"/>
      <c r="M19" s="17"/>
      <c r="N19" s="17"/>
      <c r="O19" s="17"/>
      <c r="P19" s="17"/>
      <c r="Q19" s="17"/>
      <c r="R19" s="17"/>
      <c r="S19" s="17"/>
    </row>
    <row r="20" spans="1:19" ht="15" x14ac:dyDescent="0.2">
      <c r="A20" s="16">
        <v>617</v>
      </c>
      <c r="B20" s="11">
        <v>46174</v>
      </c>
      <c r="C20" s="12" t="s">
        <v>52</v>
      </c>
      <c r="D20" s="16" t="s">
        <v>22</v>
      </c>
      <c r="E20" s="16"/>
      <c r="F20" s="15" t="s">
        <v>23</v>
      </c>
      <c r="G20" s="15"/>
      <c r="H20" s="16">
        <v>30</v>
      </c>
      <c r="I20" s="15" t="s">
        <v>24</v>
      </c>
      <c r="J20" s="17">
        <v>25</v>
      </c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2">
      <c r="A21" s="7"/>
      <c r="B21" s="7"/>
      <c r="C21" s="7"/>
      <c r="D21" s="7"/>
      <c r="E21" s="8"/>
      <c r="F21" s="7"/>
      <c r="G21" s="7"/>
      <c r="H21" s="9">
        <f>SUM(H2:H20)</f>
        <v>333</v>
      </c>
      <c r="I21" s="7"/>
      <c r="J21" s="9">
        <f>SUM(J2:J20)</f>
        <v>358</v>
      </c>
      <c r="K21" s="9">
        <f t="shared" ref="K21:S21" si="0">SUM(K2:K20)</f>
        <v>161</v>
      </c>
      <c r="L21" s="9">
        <f t="shared" si="0"/>
        <v>0</v>
      </c>
      <c r="M21" s="9">
        <f t="shared" si="0"/>
        <v>76</v>
      </c>
      <c r="N21" s="9">
        <f t="shared" si="0"/>
        <v>46</v>
      </c>
      <c r="O21" s="9">
        <f t="shared" si="0"/>
        <v>6</v>
      </c>
      <c r="P21" s="9">
        <f t="shared" si="0"/>
        <v>25</v>
      </c>
      <c r="Q21" s="9">
        <f t="shared" si="0"/>
        <v>8</v>
      </c>
      <c r="R21" s="9">
        <f t="shared" si="0"/>
        <v>0</v>
      </c>
      <c r="S21" s="9">
        <f t="shared" si="0"/>
        <v>0</v>
      </c>
    </row>
    <row r="22" spans="1:19" x14ac:dyDescent="0.2">
      <c r="A22" s="7"/>
      <c r="B22" s="7"/>
      <c r="C22" s="7"/>
      <c r="D22" s="7"/>
      <c r="E22" s="8"/>
      <c r="F22" s="7"/>
      <c r="G22" s="7"/>
      <c r="H22" s="7"/>
      <c r="I22" s="7"/>
      <c r="J22" s="9"/>
      <c r="K22" s="9"/>
      <c r="L22" s="23">
        <f>SUM(L21:S21)</f>
        <v>161</v>
      </c>
      <c r="M22" s="24"/>
      <c r="N22" s="24"/>
      <c r="O22" s="24"/>
      <c r="P22" s="24"/>
      <c r="Q22" s="24"/>
      <c r="R22" s="24"/>
      <c r="S22" s="25"/>
    </row>
    <row r="23" spans="1:19" x14ac:dyDescent="0.2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</sheetData>
  <mergeCells count="1">
    <mergeCell ref="L22:S22"/>
  </mergeCells>
  <pageMargins left="0.31" right="0.22" top="0.46" bottom="0.45" header="0.3" footer="0.3"/>
  <pageSetup paperSize="9" scale="5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Потоцкая Наталия Мирославовна</dc:creator>
  <cp:lastModifiedBy>Русакович Ирина Михайловна</cp:lastModifiedBy>
  <cp:lastPrinted>2026-06-02T06:29:25Z</cp:lastPrinted>
  <dcterms:created xsi:type="dcterms:W3CDTF">2015-06-05T18:19:34Z</dcterms:created>
  <dcterms:modified xsi:type="dcterms:W3CDTF">2026-06-02T06:29:53Z</dcterms:modified>
</cp:coreProperties>
</file>