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I:\!!! ДЕЖУРСТВО специалистов ООСО\ИЮНЬ\03.06.2026 Мартынчук Н.Н\"/>
    </mc:Choice>
  </mc:AlternateContent>
  <xr:revisionPtr revIDLastSave="0" documentId="13_ncr:1_{C4CA16FC-C05A-4AB6-B0D2-480EA492FD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8" i="2" l="1"/>
  <c r="T38" i="2"/>
  <c r="L38" i="2"/>
  <c r="K38" i="2"/>
  <c r="J38" i="2"/>
  <c r="H38" i="2"/>
  <c r="R38" i="2"/>
  <c r="N38" i="2"/>
  <c r="O38" i="2"/>
  <c r="M38" i="2"/>
  <c r="P38" i="2"/>
  <c r="Q38" i="2"/>
  <c r="L39" i="2" l="1"/>
</calcChain>
</file>

<file path=xl/sharedStrings.xml><?xml version="1.0" encoding="utf-8"?>
<sst xmlns="http://schemas.openxmlformats.org/spreadsheetml/2006/main" count="186" uniqueCount="91">
  <si>
    <t>ПК</t>
  </si>
  <si>
    <t>ПП</t>
  </si>
  <si>
    <t>КО</t>
  </si>
  <si>
    <t>Время</t>
  </si>
  <si>
    <t>План</t>
  </si>
  <si>
    <t>Кол-во посещений, по факту</t>
  </si>
  <si>
    <t>И</t>
  </si>
  <si>
    <t>Обучающиеся</t>
  </si>
  <si>
    <t>Название кафедры</t>
  </si>
  <si>
    <t>ФИО преподавателя</t>
  </si>
  <si>
    <t>Студенты МФИУ</t>
  </si>
  <si>
    <t>Кол-во обучающихся (подушно), по факту</t>
  </si>
  <si>
    <t>Дата</t>
  </si>
  <si>
    <r>
      <t xml:space="preserve"> Наименование образовательной программы </t>
    </r>
    <r>
      <rPr>
        <sz val="10"/>
        <color rgb="FFFF0000"/>
        <rFont val="Times New Roman"/>
        <family val="1"/>
        <charset val="204"/>
      </rPr>
      <t xml:space="preserve">(ИПКиПКЗ, БГМУ) </t>
    </r>
    <r>
      <rPr>
        <sz val="10"/>
        <color theme="1"/>
        <rFont val="Times New Roman"/>
        <family val="1"/>
        <charset val="204"/>
      </rPr>
      <t>/</t>
    </r>
    <r>
      <rPr>
        <sz val="10"/>
        <color rgb="FFFF0000"/>
        <rFont val="Times New Roman"/>
        <family val="1"/>
        <charset val="204"/>
      </rPr>
      <t xml:space="preserve">     </t>
    </r>
    <r>
      <rPr>
        <sz val="10"/>
        <color theme="1"/>
        <rFont val="Times New Roman"/>
        <family val="1"/>
        <charset val="204"/>
      </rPr>
      <t xml:space="preserve">                         Тема учебного занятия </t>
    </r>
    <r>
      <rPr>
        <sz val="10"/>
        <color rgb="FFFF0000"/>
        <rFont val="Times New Roman"/>
        <family val="1"/>
        <charset val="204"/>
      </rPr>
      <t>(БГМУ)</t>
    </r>
    <r>
      <rPr>
        <sz val="10"/>
        <color theme="1"/>
        <rFont val="Times New Roman"/>
        <family val="1"/>
        <charset val="204"/>
      </rPr>
      <t xml:space="preserve">                                       </t>
    </r>
  </si>
  <si>
    <r>
      <t xml:space="preserve">№ образовательной программы </t>
    </r>
    <r>
      <rPr>
        <sz val="10"/>
        <color rgb="FFFF0000"/>
        <rFont val="Times New Roman"/>
        <family val="1"/>
        <charset val="204"/>
      </rPr>
      <t>(ПК, ПП)</t>
    </r>
    <r>
      <rPr>
        <sz val="10"/>
        <color theme="1"/>
        <rFont val="Times New Roman"/>
        <family val="1"/>
        <charset val="204"/>
      </rPr>
      <t xml:space="preserve">/№ курса, группы </t>
    </r>
    <r>
      <rPr>
        <sz val="10"/>
        <color rgb="FFFF0000"/>
        <rFont val="Times New Roman"/>
        <family val="1"/>
        <charset val="204"/>
      </rPr>
      <t>(БГМУ, ВМИ, МФИУ)</t>
    </r>
  </si>
  <si>
    <t>08.00-14.30</t>
  </si>
  <si>
    <t>Профилактика и лечение кариеса эмали и дентина</t>
  </si>
  <si>
    <t>Ортопедической стоматологии и ортодонтии с курсом детской стоматологии ИПКиПКЗ</t>
  </si>
  <si>
    <t>Илюкевич С.П., Валеева М.Н., Бурак Ж.М.</t>
  </si>
  <si>
    <t>13.30</t>
  </si>
  <si>
    <t>КО экзамен</t>
  </si>
  <si>
    <t>Устное собеседование; описание рентгенограммы трубчатой кости и сопредельных суставов (специальность "Лучевая диагностика")</t>
  </si>
  <si>
    <t>Василевский А.П., Копыток Е.С.</t>
  </si>
  <si>
    <t>А</t>
  </si>
  <si>
    <t>Хирурги</t>
  </si>
  <si>
    <t>Мицкевич Е.И.</t>
  </si>
  <si>
    <t>08.30-10.00</t>
  </si>
  <si>
    <t>Экзамен без прохождения интернатуры</t>
  </si>
  <si>
    <t>БСЛР ; устное собеседование (специальность "Стоматология хирургическая ")</t>
  </si>
  <si>
    <t>Челюстно-лицевой хирургии и пластической хирургии лица с курсом ПК и ПП БГМУ</t>
  </si>
  <si>
    <t>08.30-15.00</t>
  </si>
  <si>
    <t>Неотложная сосудистая хирургия</t>
  </si>
  <si>
    <t>Общей хирургии БГМУ</t>
  </si>
  <si>
    <t>Небылицын Ю.С., Роговой Н.А.</t>
  </si>
  <si>
    <t>08.00-15.20</t>
  </si>
  <si>
    <t>Стоматология хирургическая: диагностика и лечение на амбулаторном этапе</t>
  </si>
  <si>
    <t>08.00-11.30</t>
  </si>
  <si>
    <t>15.00-16.20</t>
  </si>
  <si>
    <t>Консервативной стоматологии БГМУ</t>
  </si>
  <si>
    <t>Рутковская А.С.</t>
  </si>
  <si>
    <t>08.00-09.00</t>
  </si>
  <si>
    <t>Тренировка слушателя ПК 322</t>
  </si>
  <si>
    <t>Репродуктивного здоровья, перинатологии и медицинской генетики ИПКиПКЗ</t>
  </si>
  <si>
    <t>Хвалько Р.В.</t>
  </si>
  <si>
    <t>09.00-16.00</t>
  </si>
  <si>
    <t>Классический, вакуумный и скребковый массаж («гуаша») при сколиозах</t>
  </si>
  <si>
    <t>Рефлексотерапии ИПКиПКЗ</t>
  </si>
  <si>
    <t>Рыбин А.И., Козел С.А.</t>
  </si>
  <si>
    <t>БСЛР (специальность "Лучевая диагностика")</t>
  </si>
  <si>
    <t>16.20-17.15</t>
  </si>
  <si>
    <t>09.00-12.00</t>
  </si>
  <si>
    <t>Неотложная кардиология</t>
  </si>
  <si>
    <t>Внутренних болезней, кардиологии и ревматологии с курсом ПК и ПП БГМУ</t>
  </si>
  <si>
    <t>Хисамо С.А.</t>
  </si>
  <si>
    <t>13.00-16.00</t>
  </si>
  <si>
    <t>Маслинская Л.Н.</t>
  </si>
  <si>
    <t>10.00</t>
  </si>
  <si>
    <t>Устное собеседование (специальность "Нейрохирургия")</t>
  </si>
  <si>
    <t>Василевич Э.Н., Боровский А.А.</t>
  </si>
  <si>
    <t>БСЛР (специальность "Нейрохирургия")</t>
  </si>
  <si>
    <t>13.00</t>
  </si>
  <si>
    <t>Контроль знаний</t>
  </si>
  <si>
    <t>Травматолог-ортопед</t>
  </si>
  <si>
    <t>Табунова И.В., Ванькович П.Э.</t>
  </si>
  <si>
    <t>Булгак А.Г.</t>
  </si>
  <si>
    <t>Михно М.М.</t>
  </si>
  <si>
    <t>Люмбальная пункция (специальность "Нейрохирургия")</t>
  </si>
  <si>
    <t>14.15-14.30</t>
  </si>
  <si>
    <t>БГМУ</t>
  </si>
  <si>
    <t>Гигиены труда БГМУ</t>
  </si>
  <si>
    <t>Храповицкая А.М.</t>
  </si>
  <si>
    <t>13.30-16.00</t>
  </si>
  <si>
    <t>13.00-14.00</t>
  </si>
  <si>
    <t>Табунова И.В., Хаджи Исмаил А.</t>
  </si>
  <si>
    <t>Диагностика и лечение заболеваний женской репродуктивной системы. Гинекологическая эндокринология. Гинекология детского возраста</t>
  </si>
  <si>
    <t>Акушерства и гинекологии ИПКиПКЗ</t>
  </si>
  <si>
    <t>Студенты (БГМУ, СО)</t>
  </si>
  <si>
    <t>ТМ</t>
  </si>
  <si>
    <t>Аттестация, контроль знаний, подтверждение диплома</t>
  </si>
  <si>
    <t xml:space="preserve"> Бурак Ж.М.</t>
  </si>
  <si>
    <t xml:space="preserve"> Руман Г.М.,Федченко И.Ю.</t>
  </si>
  <si>
    <t>Яцкевич О.С.,Людчик Т.Б.</t>
  </si>
  <si>
    <t xml:space="preserve"> </t>
  </si>
  <si>
    <t>Рыбин А.И.</t>
  </si>
  <si>
    <t>14.00</t>
  </si>
  <si>
    <t>Кириленко В.П.</t>
  </si>
  <si>
    <t xml:space="preserve"> Малолеткина О.Л.</t>
  </si>
  <si>
    <t xml:space="preserve">Мельник Е.В. </t>
  </si>
  <si>
    <t>14.30</t>
  </si>
  <si>
    <t>Тренировка слушателя ПК 744</t>
  </si>
  <si>
    <t>Прочее, (тренировка  слушателя, экскурсия и др.)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</si>
</sst>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7" fillId="0" borderId="1" xfId="0" applyFont="1" applyBorder="1"/>
    <xf numFmtId="0" fontId="3" fillId="3" borderId="0" xfId="0" applyFont="1" applyFill="1"/>
    <xf numFmtId="0" fontId="3" fillId="0" borderId="0" xfId="0" applyFont="1" applyAlignment="1">
      <alignment wrapText="1"/>
    </xf>
    <xf numFmtId="0" fontId="0" fillId="4" borderId="1" xfId="0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vertical="center" wrapText="1"/>
    </xf>
    <xf numFmtId="0" fontId="3" fillId="4" borderId="0" xfId="0" applyFont="1" applyFill="1"/>
    <xf numFmtId="0" fontId="7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Обычный" xfId="0" builtinId="0"/>
    <cellStyle name="Обычный 2" xfId="1" xr:uid="{458C62A8-95B6-4819-81E6-E912A5062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921D-D189-403A-934D-FD04DC6DDC5B}">
  <sheetPr>
    <pageSetUpPr fitToPage="1"/>
  </sheetPr>
  <dimension ref="A1:V111"/>
  <sheetViews>
    <sheetView tabSelected="1" workbookViewId="0">
      <pane ySplit="1" topLeftCell="A29" activePane="bottomLeft" state="frozen"/>
      <selection pane="bottomLeft" activeCell="T31" sqref="T31"/>
    </sheetView>
  </sheetViews>
  <sheetFormatPr defaultRowHeight="12.75" x14ac:dyDescent="0.2"/>
  <cols>
    <col min="1" max="1" width="6.5703125" style="2" customWidth="1"/>
    <col min="2" max="2" width="10.85546875" style="2" customWidth="1"/>
    <col min="3" max="3" width="11.140625" style="2" customWidth="1"/>
    <col min="4" max="4" width="15.7109375" style="2" customWidth="1"/>
    <col min="5" max="5" width="10.140625" style="3" customWidth="1"/>
    <col min="6" max="6" width="39.7109375" style="2" customWidth="1"/>
    <col min="7" max="7" width="28" style="2" customWidth="1"/>
    <col min="8" max="8" width="9.140625" style="2"/>
    <col min="9" max="9" width="23.7109375" style="2" customWidth="1"/>
    <col min="10" max="10" width="9.140625" style="2" customWidth="1"/>
    <col min="11" max="11" width="11" style="2" customWidth="1"/>
    <col min="12" max="15" width="9.140625" style="2"/>
    <col min="16" max="16" width="10.42578125" style="2" customWidth="1"/>
    <col min="17" max="19" width="9.140625" style="2"/>
    <col min="20" max="20" width="12.140625" style="2" customWidth="1"/>
    <col min="21" max="21" width="11.5703125" style="2" customWidth="1"/>
    <col min="22" max="16384" width="9.140625" style="2"/>
  </cols>
  <sheetData>
    <row r="1" spans="1:22" ht="74.25" customHeight="1" x14ac:dyDescent="0.2">
      <c r="A1" s="1"/>
      <c r="B1" s="1" t="s">
        <v>12</v>
      </c>
      <c r="C1" s="1" t="s">
        <v>3</v>
      </c>
      <c r="D1" s="1" t="s">
        <v>7</v>
      </c>
      <c r="E1" s="4" t="s">
        <v>14</v>
      </c>
      <c r="F1" s="1" t="s">
        <v>13</v>
      </c>
      <c r="G1" s="1" t="s">
        <v>8</v>
      </c>
      <c r="H1" s="1" t="s">
        <v>4</v>
      </c>
      <c r="I1" s="1" t="s">
        <v>9</v>
      </c>
      <c r="J1" s="1" t="s">
        <v>5</v>
      </c>
      <c r="K1" s="1" t="s">
        <v>11</v>
      </c>
      <c r="L1" s="1" t="s">
        <v>2</v>
      </c>
      <c r="M1" s="1" t="s">
        <v>6</v>
      </c>
      <c r="N1" s="1" t="s">
        <v>0</v>
      </c>
      <c r="O1" s="1" t="s">
        <v>1</v>
      </c>
      <c r="P1" s="1" t="s">
        <v>78</v>
      </c>
      <c r="Q1" s="1" t="s">
        <v>76</v>
      </c>
      <c r="R1" s="1" t="s">
        <v>10</v>
      </c>
      <c r="S1" s="1" t="s">
        <v>77</v>
      </c>
      <c r="T1" s="1" t="s">
        <v>90</v>
      </c>
      <c r="V1" s="8"/>
    </row>
    <row r="2" spans="1:22" ht="60" x14ac:dyDescent="0.2">
      <c r="A2" s="10">
        <v>202</v>
      </c>
      <c r="B2" s="11">
        <v>46176</v>
      </c>
      <c r="C2" s="12" t="s">
        <v>15</v>
      </c>
      <c r="D2" s="13" t="s">
        <v>0</v>
      </c>
      <c r="E2" s="10">
        <v>861</v>
      </c>
      <c r="F2" s="14" t="s">
        <v>16</v>
      </c>
      <c r="G2" s="14" t="s">
        <v>17</v>
      </c>
      <c r="H2" s="10">
        <v>12</v>
      </c>
      <c r="I2" s="14" t="s">
        <v>79</v>
      </c>
      <c r="J2" s="15">
        <v>14</v>
      </c>
      <c r="K2" s="15">
        <v>14</v>
      </c>
      <c r="L2" s="15"/>
      <c r="M2" s="15"/>
      <c r="N2" s="15">
        <v>14</v>
      </c>
      <c r="O2" s="15"/>
      <c r="P2" s="15"/>
      <c r="Q2" s="15"/>
      <c r="R2" s="15"/>
      <c r="S2" s="15"/>
      <c r="T2" s="15"/>
    </row>
    <row r="3" spans="1:22" ht="30" x14ac:dyDescent="0.2">
      <c r="A3" s="10">
        <v>203</v>
      </c>
      <c r="B3" s="11">
        <v>46176</v>
      </c>
      <c r="C3" s="12" t="s">
        <v>56</v>
      </c>
      <c r="D3" s="16" t="s">
        <v>0</v>
      </c>
      <c r="E3" s="16">
        <v>569</v>
      </c>
      <c r="F3" s="14" t="s">
        <v>31</v>
      </c>
      <c r="G3" s="14" t="s">
        <v>32</v>
      </c>
      <c r="H3" s="10">
        <v>12</v>
      </c>
      <c r="I3" s="14" t="s">
        <v>33</v>
      </c>
      <c r="J3" s="15">
        <v>11</v>
      </c>
      <c r="K3" s="15">
        <v>11</v>
      </c>
      <c r="L3" s="15"/>
      <c r="M3" s="15"/>
      <c r="N3" s="15">
        <v>11</v>
      </c>
      <c r="O3" s="15"/>
      <c r="P3" s="15"/>
      <c r="Q3" s="15"/>
      <c r="R3" s="15"/>
      <c r="S3" s="15"/>
      <c r="T3" s="15"/>
    </row>
    <row r="4" spans="1:22" ht="15" x14ac:dyDescent="0.2">
      <c r="A4" s="10">
        <v>203</v>
      </c>
      <c r="B4" s="11">
        <v>46176</v>
      </c>
      <c r="C4" s="17" t="s">
        <v>19</v>
      </c>
      <c r="D4" s="10" t="s">
        <v>23</v>
      </c>
      <c r="E4" s="10"/>
      <c r="F4" s="14" t="s">
        <v>24</v>
      </c>
      <c r="G4" s="14"/>
      <c r="H4" s="10">
        <v>11</v>
      </c>
      <c r="I4" s="14" t="s">
        <v>25</v>
      </c>
      <c r="J4" s="15">
        <v>7</v>
      </c>
      <c r="K4" s="15">
        <v>7</v>
      </c>
      <c r="L4" s="15"/>
      <c r="M4" s="15"/>
      <c r="N4" s="15"/>
      <c r="O4" s="15"/>
      <c r="P4" s="15">
        <v>7</v>
      </c>
      <c r="Q4" s="15"/>
      <c r="R4" s="15"/>
      <c r="S4" s="15"/>
      <c r="T4" s="15"/>
    </row>
    <row r="5" spans="1:22" ht="45" x14ac:dyDescent="0.2">
      <c r="A5" s="10">
        <v>301</v>
      </c>
      <c r="B5" s="11">
        <v>46176</v>
      </c>
      <c r="C5" s="12" t="s">
        <v>26</v>
      </c>
      <c r="D5" s="16" t="s">
        <v>27</v>
      </c>
      <c r="E5" s="16"/>
      <c r="F5" s="14" t="s">
        <v>28</v>
      </c>
      <c r="G5" s="14" t="s">
        <v>29</v>
      </c>
      <c r="H5" s="10">
        <v>4</v>
      </c>
      <c r="I5" s="14" t="s">
        <v>81</v>
      </c>
      <c r="J5" s="15">
        <v>4</v>
      </c>
      <c r="K5" s="15">
        <v>4</v>
      </c>
      <c r="L5" s="15"/>
      <c r="M5" s="15">
        <v>4</v>
      </c>
      <c r="N5" s="15"/>
      <c r="O5" s="15"/>
      <c r="P5" s="15"/>
      <c r="Q5" s="15"/>
      <c r="R5" s="15"/>
      <c r="S5" s="15"/>
      <c r="T5" s="15"/>
    </row>
    <row r="6" spans="1:22" ht="30" x14ac:dyDescent="0.2">
      <c r="A6" s="10">
        <v>301</v>
      </c>
      <c r="B6" s="11">
        <v>46176</v>
      </c>
      <c r="C6" s="12" t="s">
        <v>72</v>
      </c>
      <c r="D6" s="16" t="s">
        <v>61</v>
      </c>
      <c r="E6" s="16"/>
      <c r="F6" s="14" t="s">
        <v>24</v>
      </c>
      <c r="G6" s="14"/>
      <c r="H6" s="10">
        <v>1</v>
      </c>
      <c r="I6" s="14" t="s">
        <v>73</v>
      </c>
      <c r="J6" s="15">
        <v>0</v>
      </c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2" ht="30" x14ac:dyDescent="0.2">
      <c r="A7" s="10">
        <v>306</v>
      </c>
      <c r="B7" s="11">
        <v>46176</v>
      </c>
      <c r="C7" s="12" t="s">
        <v>30</v>
      </c>
      <c r="D7" s="16" t="s">
        <v>0</v>
      </c>
      <c r="E7" s="16">
        <v>569</v>
      </c>
      <c r="F7" s="14" t="s">
        <v>31</v>
      </c>
      <c r="G7" s="14" t="s">
        <v>32</v>
      </c>
      <c r="H7" s="10">
        <v>12</v>
      </c>
      <c r="I7" s="14" t="s">
        <v>33</v>
      </c>
      <c r="J7" s="15">
        <v>11</v>
      </c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2" ht="45" x14ac:dyDescent="0.2">
      <c r="A8" s="18">
        <v>307</v>
      </c>
      <c r="B8" s="11">
        <v>46176</v>
      </c>
      <c r="C8" s="17" t="s">
        <v>34</v>
      </c>
      <c r="D8" s="13" t="s">
        <v>0</v>
      </c>
      <c r="E8" s="13">
        <v>744</v>
      </c>
      <c r="F8" s="19" t="s">
        <v>35</v>
      </c>
      <c r="G8" s="14" t="s">
        <v>29</v>
      </c>
      <c r="H8" s="10">
        <v>16</v>
      </c>
      <c r="I8" s="14" t="s">
        <v>80</v>
      </c>
      <c r="J8" s="15">
        <v>26</v>
      </c>
      <c r="K8" s="15">
        <v>26</v>
      </c>
      <c r="L8" s="15"/>
      <c r="M8" s="15"/>
      <c r="N8" s="15">
        <v>26</v>
      </c>
      <c r="O8" s="15"/>
      <c r="P8" s="15"/>
      <c r="Q8" s="15"/>
      <c r="R8" s="15"/>
      <c r="S8" s="15"/>
      <c r="T8" s="15"/>
    </row>
    <row r="9" spans="1:22" ht="45" x14ac:dyDescent="0.2">
      <c r="A9" s="18">
        <v>308</v>
      </c>
      <c r="B9" s="11">
        <v>46176</v>
      </c>
      <c r="C9" s="17" t="s">
        <v>34</v>
      </c>
      <c r="D9" s="13" t="s">
        <v>0</v>
      </c>
      <c r="E9" s="13">
        <v>744</v>
      </c>
      <c r="F9" s="19" t="s">
        <v>35</v>
      </c>
      <c r="G9" s="14" t="s">
        <v>29</v>
      </c>
      <c r="H9" s="10">
        <v>16</v>
      </c>
      <c r="I9" s="14" t="s">
        <v>80</v>
      </c>
      <c r="J9" s="15">
        <v>26</v>
      </c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2" ht="60" x14ac:dyDescent="0.2">
      <c r="A10" s="18">
        <v>309</v>
      </c>
      <c r="B10" s="11">
        <v>46176</v>
      </c>
      <c r="C10" s="12" t="s">
        <v>36</v>
      </c>
      <c r="D10" s="16" t="s">
        <v>0</v>
      </c>
      <c r="E10" s="16">
        <v>861</v>
      </c>
      <c r="F10" s="14" t="s">
        <v>16</v>
      </c>
      <c r="G10" s="14" t="s">
        <v>17</v>
      </c>
      <c r="H10" s="10">
        <v>12</v>
      </c>
      <c r="I10" s="14" t="s">
        <v>18</v>
      </c>
      <c r="J10" s="15">
        <v>14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2" ht="30" x14ac:dyDescent="0.2">
      <c r="A11" s="18">
        <v>309</v>
      </c>
      <c r="B11" s="11">
        <v>46176</v>
      </c>
      <c r="C11" s="12" t="s">
        <v>37</v>
      </c>
      <c r="D11" s="16" t="s">
        <v>2</v>
      </c>
      <c r="E11" s="16"/>
      <c r="F11" s="14"/>
      <c r="G11" s="14" t="s">
        <v>38</v>
      </c>
      <c r="H11" s="10">
        <v>1</v>
      </c>
      <c r="I11" s="14" t="s">
        <v>39</v>
      </c>
      <c r="J11" s="15">
        <v>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2" ht="60" x14ac:dyDescent="0.2">
      <c r="A12" s="10">
        <v>310</v>
      </c>
      <c r="B12" s="11">
        <v>46176</v>
      </c>
      <c r="C12" s="12" t="s">
        <v>15</v>
      </c>
      <c r="D12" s="16" t="s">
        <v>0</v>
      </c>
      <c r="E12" s="16">
        <v>861</v>
      </c>
      <c r="F12" s="14" t="s">
        <v>16</v>
      </c>
      <c r="G12" s="14" t="s">
        <v>17</v>
      </c>
      <c r="H12" s="10">
        <v>12</v>
      </c>
      <c r="I12" s="14" t="s">
        <v>18</v>
      </c>
      <c r="J12" s="15">
        <v>14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2" ht="30" x14ac:dyDescent="0.2">
      <c r="A13" s="10">
        <v>310</v>
      </c>
      <c r="B13" s="11">
        <v>46176</v>
      </c>
      <c r="C13" s="12" t="s">
        <v>60</v>
      </c>
      <c r="D13" s="16" t="s">
        <v>0</v>
      </c>
      <c r="E13" s="16">
        <v>569</v>
      </c>
      <c r="F13" s="14" t="s">
        <v>31</v>
      </c>
      <c r="G13" s="14" t="s">
        <v>32</v>
      </c>
      <c r="H13" s="10">
        <v>12</v>
      </c>
      <c r="I13" s="14" t="s">
        <v>33</v>
      </c>
      <c r="J13" s="15">
        <v>11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2" ht="60" x14ac:dyDescent="0.2">
      <c r="A14" s="18">
        <v>311</v>
      </c>
      <c r="B14" s="11">
        <v>46176</v>
      </c>
      <c r="C14" s="17" t="s">
        <v>40</v>
      </c>
      <c r="D14" s="20" t="s">
        <v>41</v>
      </c>
      <c r="E14" s="13"/>
      <c r="F14" s="19"/>
      <c r="G14" s="14" t="s">
        <v>42</v>
      </c>
      <c r="H14" s="10">
        <v>1</v>
      </c>
      <c r="I14" s="14" t="s">
        <v>43</v>
      </c>
      <c r="J14" s="15">
        <v>1</v>
      </c>
      <c r="K14" s="15">
        <v>1</v>
      </c>
      <c r="L14" s="15"/>
      <c r="M14" s="15"/>
      <c r="N14" s="15"/>
      <c r="O14" s="15"/>
      <c r="P14" s="15"/>
      <c r="Q14" s="15"/>
      <c r="R14" s="15"/>
      <c r="S14" s="15"/>
      <c r="T14" s="21">
        <v>1</v>
      </c>
      <c r="U14" s="9"/>
    </row>
    <row r="15" spans="1:22" ht="30" x14ac:dyDescent="0.25">
      <c r="A15" s="10">
        <v>313</v>
      </c>
      <c r="B15" s="11">
        <v>46176</v>
      </c>
      <c r="C15" s="12" t="s">
        <v>44</v>
      </c>
      <c r="D15" s="10" t="s">
        <v>0</v>
      </c>
      <c r="E15" s="16">
        <v>362</v>
      </c>
      <c r="F15" s="22" t="s">
        <v>45</v>
      </c>
      <c r="G15" s="14" t="s">
        <v>46</v>
      </c>
      <c r="H15" s="10">
        <v>9</v>
      </c>
      <c r="I15" s="14" t="s">
        <v>83</v>
      </c>
      <c r="J15" s="15">
        <v>8</v>
      </c>
      <c r="K15" s="15">
        <v>8</v>
      </c>
      <c r="L15" s="15"/>
      <c r="M15" s="15"/>
      <c r="N15" s="15">
        <v>8</v>
      </c>
      <c r="O15" s="15"/>
      <c r="P15" s="15"/>
      <c r="Q15" s="15"/>
      <c r="R15" s="15"/>
      <c r="S15" s="15"/>
      <c r="T15" s="15"/>
    </row>
    <row r="16" spans="1:22" ht="30" x14ac:dyDescent="0.2">
      <c r="A16" s="10">
        <v>402</v>
      </c>
      <c r="B16" s="11">
        <v>46176</v>
      </c>
      <c r="C16" s="12" t="s">
        <v>19</v>
      </c>
      <c r="D16" s="16" t="s">
        <v>20</v>
      </c>
      <c r="E16" s="16"/>
      <c r="F16" s="14" t="s">
        <v>48</v>
      </c>
      <c r="G16" s="14"/>
      <c r="H16" s="10">
        <v>3</v>
      </c>
      <c r="I16" s="14" t="s">
        <v>22</v>
      </c>
      <c r="J16" s="15">
        <v>3</v>
      </c>
      <c r="K16" s="15">
        <v>3</v>
      </c>
      <c r="L16" s="15">
        <v>3</v>
      </c>
      <c r="M16" s="15"/>
      <c r="N16" s="15"/>
      <c r="O16" s="15"/>
      <c r="P16" s="15"/>
      <c r="Q16" s="15"/>
      <c r="R16" s="15"/>
      <c r="S16" s="15"/>
      <c r="T16" s="15"/>
    </row>
    <row r="17" spans="1:20" ht="60" x14ac:dyDescent="0.2">
      <c r="A17" s="10">
        <v>403</v>
      </c>
      <c r="B17" s="11">
        <v>46176</v>
      </c>
      <c r="C17" s="12" t="s">
        <v>50</v>
      </c>
      <c r="D17" s="10" t="s">
        <v>0</v>
      </c>
      <c r="E17" s="16">
        <v>7</v>
      </c>
      <c r="F17" s="23" t="s">
        <v>74</v>
      </c>
      <c r="G17" s="14" t="s">
        <v>75</v>
      </c>
      <c r="H17" s="10">
        <v>10</v>
      </c>
      <c r="I17" s="14" t="s">
        <v>85</v>
      </c>
      <c r="J17" s="15">
        <v>11</v>
      </c>
      <c r="K17" s="15">
        <v>32</v>
      </c>
      <c r="L17" s="15"/>
      <c r="M17" s="15"/>
      <c r="N17" s="15">
        <v>32</v>
      </c>
      <c r="O17" s="15"/>
      <c r="P17" s="15"/>
      <c r="Q17" s="15"/>
      <c r="R17" s="15"/>
      <c r="S17" s="15"/>
      <c r="T17" s="15"/>
    </row>
    <row r="18" spans="1:20" ht="60" x14ac:dyDescent="0.2">
      <c r="A18" s="10">
        <v>403</v>
      </c>
      <c r="B18" s="11">
        <v>46176</v>
      </c>
      <c r="C18" s="12" t="s">
        <v>50</v>
      </c>
      <c r="D18" s="10" t="s">
        <v>2</v>
      </c>
      <c r="E18" s="16"/>
      <c r="F18" s="23" t="s">
        <v>74</v>
      </c>
      <c r="G18" s="14" t="s">
        <v>75</v>
      </c>
      <c r="H18" s="10"/>
      <c r="I18" s="14" t="s">
        <v>85</v>
      </c>
      <c r="J18" s="15">
        <v>2</v>
      </c>
      <c r="K18" s="15">
        <v>2</v>
      </c>
      <c r="L18" s="15">
        <v>2</v>
      </c>
      <c r="M18" s="15"/>
      <c r="N18" s="15"/>
      <c r="O18" s="15"/>
      <c r="P18" s="15"/>
      <c r="Q18" s="15"/>
      <c r="R18" s="15"/>
      <c r="S18" s="15"/>
      <c r="T18" s="15"/>
    </row>
    <row r="19" spans="1:20" ht="45" x14ac:dyDescent="0.2">
      <c r="A19" s="10">
        <v>403</v>
      </c>
      <c r="B19" s="11">
        <v>46176</v>
      </c>
      <c r="C19" s="12" t="s">
        <v>88</v>
      </c>
      <c r="D19" s="20" t="s">
        <v>89</v>
      </c>
      <c r="E19" s="16"/>
      <c r="F19" s="19" t="s">
        <v>35</v>
      </c>
      <c r="G19" s="14" t="s">
        <v>29</v>
      </c>
      <c r="H19" s="10"/>
      <c r="I19" s="14"/>
      <c r="J19" s="15">
        <v>1</v>
      </c>
      <c r="K19" s="15">
        <v>1</v>
      </c>
      <c r="L19" s="15"/>
      <c r="M19" s="15"/>
      <c r="N19" s="15"/>
      <c r="O19" s="15"/>
      <c r="P19" s="15"/>
      <c r="Q19" s="15"/>
      <c r="R19" s="15"/>
      <c r="S19" s="15"/>
      <c r="T19" s="15">
        <v>1</v>
      </c>
    </row>
    <row r="20" spans="1:20" ht="30" x14ac:dyDescent="0.2">
      <c r="A20" s="18">
        <v>403</v>
      </c>
      <c r="B20" s="11">
        <v>46176</v>
      </c>
      <c r="C20" s="12" t="s">
        <v>49</v>
      </c>
      <c r="D20" s="16" t="s">
        <v>2</v>
      </c>
      <c r="E20" s="16"/>
      <c r="F20" s="14"/>
      <c r="G20" s="14" t="s">
        <v>38</v>
      </c>
      <c r="H20" s="10">
        <v>1</v>
      </c>
      <c r="I20" s="14" t="s">
        <v>39</v>
      </c>
      <c r="J20" s="15"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60" x14ac:dyDescent="0.2">
      <c r="A21" s="10">
        <v>405</v>
      </c>
      <c r="B21" s="11">
        <v>46176</v>
      </c>
      <c r="C21" s="12" t="s">
        <v>50</v>
      </c>
      <c r="D21" s="10" t="s">
        <v>0</v>
      </c>
      <c r="E21" s="16">
        <v>525</v>
      </c>
      <c r="F21" s="14" t="s">
        <v>51</v>
      </c>
      <c r="G21" s="14" t="s">
        <v>52</v>
      </c>
      <c r="H21" s="10">
        <v>12</v>
      </c>
      <c r="I21" s="14" t="s">
        <v>53</v>
      </c>
      <c r="J21" s="15">
        <v>27</v>
      </c>
      <c r="K21" s="15">
        <v>27</v>
      </c>
      <c r="L21" s="15"/>
      <c r="M21" s="15"/>
      <c r="N21" s="15">
        <v>27</v>
      </c>
      <c r="O21" s="15"/>
      <c r="P21" s="15"/>
      <c r="Q21" s="15"/>
      <c r="R21" s="15"/>
      <c r="S21" s="15"/>
      <c r="T21" s="15"/>
    </row>
    <row r="22" spans="1:20" ht="60" x14ac:dyDescent="0.2">
      <c r="A22" s="10">
        <v>405</v>
      </c>
      <c r="B22" s="11">
        <v>46176</v>
      </c>
      <c r="C22" s="12" t="s">
        <v>54</v>
      </c>
      <c r="D22" s="10" t="s">
        <v>0</v>
      </c>
      <c r="E22" s="16">
        <v>525</v>
      </c>
      <c r="F22" s="14" t="s">
        <v>51</v>
      </c>
      <c r="G22" s="14" t="s">
        <v>52</v>
      </c>
      <c r="H22" s="10">
        <v>12</v>
      </c>
      <c r="I22" s="14" t="s">
        <v>55</v>
      </c>
      <c r="J22" s="15">
        <v>27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30" x14ac:dyDescent="0.2">
      <c r="A23" s="10">
        <v>409</v>
      </c>
      <c r="B23" s="11">
        <v>46176</v>
      </c>
      <c r="C23" s="12" t="s">
        <v>56</v>
      </c>
      <c r="D23" s="16" t="s">
        <v>20</v>
      </c>
      <c r="E23" s="16"/>
      <c r="F23" s="14" t="s">
        <v>57</v>
      </c>
      <c r="G23" s="14"/>
      <c r="H23" s="10">
        <v>8</v>
      </c>
      <c r="I23" s="14" t="s">
        <v>58</v>
      </c>
      <c r="J23" s="15">
        <v>8</v>
      </c>
      <c r="K23" s="15">
        <v>8</v>
      </c>
      <c r="L23" s="15">
        <v>8</v>
      </c>
      <c r="M23" s="15"/>
      <c r="N23" s="15"/>
      <c r="O23" s="15"/>
      <c r="P23" s="15"/>
      <c r="Q23" s="15"/>
      <c r="R23" s="15"/>
      <c r="S23" s="15"/>
      <c r="T23" s="15"/>
    </row>
    <row r="24" spans="1:20" ht="60" x14ac:dyDescent="0.2">
      <c r="A24" s="10">
        <v>409</v>
      </c>
      <c r="B24" s="11">
        <v>46176</v>
      </c>
      <c r="C24" s="12" t="s">
        <v>19</v>
      </c>
      <c r="D24" s="16" t="s">
        <v>20</v>
      </c>
      <c r="E24" s="16"/>
      <c r="F24" s="14" t="s">
        <v>21</v>
      </c>
      <c r="G24" s="14"/>
      <c r="H24" s="10">
        <v>3</v>
      </c>
      <c r="I24" s="14" t="s">
        <v>22</v>
      </c>
      <c r="J24" s="15">
        <v>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30" x14ac:dyDescent="0.2">
      <c r="A25" s="10">
        <v>410</v>
      </c>
      <c r="B25" s="11">
        <v>46176</v>
      </c>
      <c r="C25" s="12" t="s">
        <v>56</v>
      </c>
      <c r="D25" s="16" t="s">
        <v>20</v>
      </c>
      <c r="E25" s="16"/>
      <c r="F25" s="14" t="s">
        <v>59</v>
      </c>
      <c r="G25" s="14"/>
      <c r="H25" s="10">
        <v>8</v>
      </c>
      <c r="I25" s="14" t="s">
        <v>58</v>
      </c>
      <c r="J25" s="15">
        <v>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30" x14ac:dyDescent="0.2">
      <c r="A26" s="10">
        <v>412</v>
      </c>
      <c r="B26" s="11">
        <v>46176</v>
      </c>
      <c r="C26" s="12" t="s">
        <v>84</v>
      </c>
      <c r="D26" s="16" t="s">
        <v>61</v>
      </c>
      <c r="E26" s="16"/>
      <c r="F26" s="14" t="s">
        <v>62</v>
      </c>
      <c r="G26" s="14"/>
      <c r="H26" s="10">
        <v>1</v>
      </c>
      <c r="I26" s="14" t="s">
        <v>63</v>
      </c>
      <c r="J26" s="24">
        <v>1</v>
      </c>
      <c r="K26" s="15">
        <v>1</v>
      </c>
      <c r="L26" s="15"/>
      <c r="M26" s="15"/>
      <c r="N26" s="15"/>
      <c r="O26" s="15"/>
      <c r="P26" s="15">
        <v>1</v>
      </c>
      <c r="Q26" s="15"/>
      <c r="R26" s="15"/>
      <c r="S26" s="15"/>
      <c r="T26" s="15"/>
    </row>
    <row r="27" spans="1:20" ht="30" x14ac:dyDescent="0.25">
      <c r="A27" s="10">
        <v>504</v>
      </c>
      <c r="B27" s="11">
        <v>46176</v>
      </c>
      <c r="C27" s="12" t="s">
        <v>44</v>
      </c>
      <c r="D27" s="10" t="s">
        <v>0</v>
      </c>
      <c r="E27" s="16">
        <v>362</v>
      </c>
      <c r="F27" s="22" t="s">
        <v>45</v>
      </c>
      <c r="G27" s="14" t="s">
        <v>46</v>
      </c>
      <c r="H27" s="10">
        <v>9</v>
      </c>
      <c r="I27" s="14" t="s">
        <v>47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60" x14ac:dyDescent="0.25">
      <c r="A28" s="10">
        <v>505</v>
      </c>
      <c r="B28" s="11">
        <v>46176</v>
      </c>
      <c r="C28" s="12" t="s">
        <v>50</v>
      </c>
      <c r="D28" s="10" t="s">
        <v>0</v>
      </c>
      <c r="E28" s="16">
        <v>7</v>
      </c>
      <c r="F28" s="22" t="s">
        <v>74</v>
      </c>
      <c r="G28" s="14" t="s">
        <v>75</v>
      </c>
      <c r="H28" s="10">
        <v>10</v>
      </c>
      <c r="I28" s="14" t="s">
        <v>86</v>
      </c>
      <c r="J28" s="15">
        <v>11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60" x14ac:dyDescent="0.25">
      <c r="A29" s="10">
        <v>505</v>
      </c>
      <c r="B29" s="11">
        <v>46176</v>
      </c>
      <c r="C29" s="12" t="s">
        <v>50</v>
      </c>
      <c r="D29" s="10" t="s">
        <v>2</v>
      </c>
      <c r="E29" s="16"/>
      <c r="F29" s="22" t="s">
        <v>74</v>
      </c>
      <c r="G29" s="14" t="s">
        <v>75</v>
      </c>
      <c r="H29" s="10"/>
      <c r="I29" s="14" t="s">
        <v>86</v>
      </c>
      <c r="J29" s="15">
        <v>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60" x14ac:dyDescent="0.2">
      <c r="A30" s="10">
        <v>509</v>
      </c>
      <c r="B30" s="11">
        <v>46176</v>
      </c>
      <c r="C30" s="12" t="s">
        <v>50</v>
      </c>
      <c r="D30" s="10" t="s">
        <v>0</v>
      </c>
      <c r="E30" s="16">
        <v>525</v>
      </c>
      <c r="F30" s="14" t="s">
        <v>51</v>
      </c>
      <c r="G30" s="14" t="s">
        <v>52</v>
      </c>
      <c r="H30" s="10">
        <v>12</v>
      </c>
      <c r="I30" s="14" t="s">
        <v>64</v>
      </c>
      <c r="J30" s="15">
        <v>27</v>
      </c>
      <c r="K30" s="15"/>
      <c r="L30" s="15"/>
      <c r="M30" s="15"/>
      <c r="N30" s="15"/>
      <c r="O30" s="15"/>
      <c r="P30" s="15"/>
      <c r="Q30" s="15"/>
      <c r="R30" s="15"/>
      <c r="S30" s="15"/>
      <c r="T30" s="15" t="s">
        <v>82</v>
      </c>
    </row>
    <row r="31" spans="1:20" ht="60" x14ac:dyDescent="0.2">
      <c r="A31" s="10">
        <v>509</v>
      </c>
      <c r="B31" s="11">
        <v>46176</v>
      </c>
      <c r="C31" s="12" t="s">
        <v>54</v>
      </c>
      <c r="D31" s="10" t="s">
        <v>0</v>
      </c>
      <c r="E31" s="16">
        <v>525</v>
      </c>
      <c r="F31" s="14" t="s">
        <v>51</v>
      </c>
      <c r="G31" s="14" t="s">
        <v>52</v>
      </c>
      <c r="H31" s="10">
        <v>12</v>
      </c>
      <c r="I31" s="14" t="s">
        <v>65</v>
      </c>
      <c r="J31" s="15">
        <v>27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30" x14ac:dyDescent="0.2">
      <c r="A32" s="10">
        <v>510</v>
      </c>
      <c r="B32" s="11">
        <v>46176</v>
      </c>
      <c r="C32" s="12" t="s">
        <v>56</v>
      </c>
      <c r="D32" s="16" t="s">
        <v>0</v>
      </c>
      <c r="E32" s="16">
        <v>569</v>
      </c>
      <c r="F32" s="14" t="s">
        <v>31</v>
      </c>
      <c r="G32" s="14" t="s">
        <v>32</v>
      </c>
      <c r="H32" s="10">
        <v>12</v>
      </c>
      <c r="I32" s="14" t="s">
        <v>33</v>
      </c>
      <c r="J32" s="15">
        <v>11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30" x14ac:dyDescent="0.2">
      <c r="A33" s="10">
        <v>513</v>
      </c>
      <c r="B33" s="11">
        <v>46176</v>
      </c>
      <c r="C33" s="12" t="s">
        <v>67</v>
      </c>
      <c r="D33" s="16" t="s">
        <v>20</v>
      </c>
      <c r="E33" s="16"/>
      <c r="F33" s="14" t="s">
        <v>66</v>
      </c>
      <c r="G33" s="14"/>
      <c r="H33" s="10">
        <v>8</v>
      </c>
      <c r="I33" s="14" t="s">
        <v>58</v>
      </c>
      <c r="J33" s="15">
        <v>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5" x14ac:dyDescent="0.2">
      <c r="A34" s="10">
        <v>605</v>
      </c>
      <c r="B34" s="11">
        <v>46176</v>
      </c>
      <c r="C34" s="12" t="s">
        <v>71</v>
      </c>
      <c r="D34" s="10" t="s">
        <v>68</v>
      </c>
      <c r="E34" s="16">
        <v>3310</v>
      </c>
      <c r="F34" s="14"/>
      <c r="G34" s="14" t="s">
        <v>69</v>
      </c>
      <c r="H34" s="10">
        <v>10</v>
      </c>
      <c r="I34" s="14" t="s">
        <v>70</v>
      </c>
      <c r="J34" s="15">
        <v>9</v>
      </c>
      <c r="K34" s="15">
        <v>9</v>
      </c>
      <c r="L34" s="15"/>
      <c r="M34" s="15"/>
      <c r="N34" s="15"/>
      <c r="O34" s="15"/>
      <c r="P34" s="15"/>
      <c r="Q34" s="15">
        <v>9</v>
      </c>
      <c r="R34" s="15"/>
      <c r="S34" s="15"/>
      <c r="T34" s="15"/>
    </row>
    <row r="35" spans="1:20" ht="15" x14ac:dyDescent="0.2">
      <c r="A35" s="10">
        <v>609</v>
      </c>
      <c r="B35" s="11">
        <v>46176</v>
      </c>
      <c r="C35" s="12" t="s">
        <v>50</v>
      </c>
      <c r="D35" s="10" t="s">
        <v>68</v>
      </c>
      <c r="E35" s="16">
        <v>3310</v>
      </c>
      <c r="F35" s="14"/>
      <c r="G35" s="14" t="s">
        <v>69</v>
      </c>
      <c r="H35" s="10">
        <v>10</v>
      </c>
      <c r="I35" s="14" t="s">
        <v>70</v>
      </c>
      <c r="J35" s="15">
        <v>9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60" x14ac:dyDescent="0.2">
      <c r="A36" s="10">
        <v>612</v>
      </c>
      <c r="B36" s="11">
        <v>46176</v>
      </c>
      <c r="C36" s="12" t="s">
        <v>50</v>
      </c>
      <c r="D36" s="10" t="s">
        <v>0</v>
      </c>
      <c r="E36" s="16">
        <v>7</v>
      </c>
      <c r="F36" s="14" t="s">
        <v>74</v>
      </c>
      <c r="G36" s="14" t="s">
        <v>75</v>
      </c>
      <c r="H36" s="10">
        <v>10</v>
      </c>
      <c r="I36" s="14" t="s">
        <v>87</v>
      </c>
      <c r="J36" s="15">
        <v>10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60" x14ac:dyDescent="0.2">
      <c r="A37" s="10">
        <v>612</v>
      </c>
      <c r="B37" s="11">
        <v>46176</v>
      </c>
      <c r="C37" s="12" t="s">
        <v>50</v>
      </c>
      <c r="D37" s="10" t="s">
        <v>2</v>
      </c>
      <c r="E37" s="16"/>
      <c r="F37" s="14" t="s">
        <v>74</v>
      </c>
      <c r="G37" s="14" t="s">
        <v>75</v>
      </c>
      <c r="H37" s="10"/>
      <c r="I37" s="14" t="s">
        <v>87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">
      <c r="A38" s="5"/>
      <c r="B38" s="5"/>
      <c r="C38" s="5"/>
      <c r="D38" s="5"/>
      <c r="E38" s="6"/>
      <c r="F38" s="5"/>
      <c r="G38" s="5"/>
      <c r="H38" s="5">
        <f>SUM(H2:H37)</f>
        <v>282</v>
      </c>
      <c r="I38" s="5"/>
      <c r="J38" s="5">
        <f t="shared" ref="J38:T38" si="0">SUM(J2:J37)</f>
        <v>354</v>
      </c>
      <c r="K38" s="7">
        <f t="shared" si="0"/>
        <v>154</v>
      </c>
      <c r="L38" s="5">
        <f t="shared" si="0"/>
        <v>13</v>
      </c>
      <c r="M38" s="5">
        <f t="shared" si="0"/>
        <v>4</v>
      </c>
      <c r="N38" s="5">
        <f t="shared" si="0"/>
        <v>118</v>
      </c>
      <c r="O38" s="5">
        <f t="shared" si="0"/>
        <v>0</v>
      </c>
      <c r="P38" s="5">
        <f t="shared" si="0"/>
        <v>8</v>
      </c>
      <c r="Q38" s="5">
        <f t="shared" si="0"/>
        <v>9</v>
      </c>
      <c r="R38" s="5">
        <f t="shared" si="0"/>
        <v>0</v>
      </c>
      <c r="S38" s="5">
        <f t="shared" si="0"/>
        <v>0</v>
      </c>
      <c r="T38" s="5">
        <f t="shared" si="0"/>
        <v>2</v>
      </c>
    </row>
    <row r="39" spans="1:20" ht="15" x14ac:dyDescent="0.25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25">
        <f>SUM(L38:T38)</f>
        <v>154</v>
      </c>
      <c r="M39" s="26"/>
      <c r="N39" s="26"/>
      <c r="O39" s="26"/>
      <c r="P39" s="26"/>
      <c r="Q39" s="26"/>
      <c r="R39" s="26"/>
      <c r="S39" s="26"/>
      <c r="T39" s="27"/>
    </row>
    <row r="40" spans="1:20" x14ac:dyDescent="0.2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2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x14ac:dyDescent="0.2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2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x14ac:dyDescent="0.2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x14ac:dyDescent="0.2">
      <c r="A47" s="5"/>
      <c r="B47" s="5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2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2">
      <c r="A49" s="5"/>
      <c r="B49" s="5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x14ac:dyDescent="0.2">
      <c r="A50" s="5"/>
      <c r="B50" s="5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">
      <c r="A51" s="5"/>
      <c r="B51" s="5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">
      <c r="A52" s="5"/>
      <c r="B52" s="5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x14ac:dyDescent="0.2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x14ac:dyDescent="0.2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x14ac:dyDescent="0.2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x14ac:dyDescent="0.2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2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x14ac:dyDescent="0.2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2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2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x14ac:dyDescent="0.2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x14ac:dyDescent="0.2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x14ac:dyDescent="0.2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x14ac:dyDescent="0.2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x14ac:dyDescent="0.2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x14ac:dyDescent="0.2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x14ac:dyDescent="0.2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x14ac:dyDescent="0.2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x14ac:dyDescent="0.2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x14ac:dyDescent="0.2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x14ac:dyDescent="0.2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x14ac:dyDescent="0.2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x14ac:dyDescent="0.2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x14ac:dyDescent="0.2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x14ac:dyDescent="0.2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x14ac:dyDescent="0.2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x14ac:dyDescent="0.2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x14ac:dyDescent="0.2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 x14ac:dyDescent="0.2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 x14ac:dyDescent="0.2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x14ac:dyDescent="0.2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2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x14ac:dyDescent="0.2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x14ac:dyDescent="0.2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x14ac:dyDescent="0.2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x14ac:dyDescent="0.2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x14ac:dyDescent="0.2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 x14ac:dyDescent="0.2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x14ac:dyDescent="0.2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x14ac:dyDescent="0.2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x14ac:dyDescent="0.2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x14ac:dyDescent="0.2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x14ac:dyDescent="0.2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x14ac:dyDescent="0.2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x14ac:dyDescent="0.2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x14ac:dyDescent="0.2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x14ac:dyDescent="0.2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x14ac:dyDescent="0.2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x14ac:dyDescent="0.2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x14ac:dyDescent="0.2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x14ac:dyDescent="0.2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x14ac:dyDescent="0.2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x14ac:dyDescent="0.2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x14ac:dyDescent="0.2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x14ac:dyDescent="0.2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x14ac:dyDescent="0.2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x14ac:dyDescent="0.2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x14ac:dyDescent="0.2">
      <c r="A110" s="5"/>
      <c r="B110" s="5"/>
      <c r="C110" s="5"/>
      <c r="D110" s="5"/>
      <c r="E110" s="6"/>
      <c r="F110" s="5"/>
      <c r="G110" s="5"/>
      <c r="H110" s="5"/>
      <c r="I110" s="5"/>
    </row>
    <row r="111" spans="1:20" x14ac:dyDescent="0.2">
      <c r="A111" s="5"/>
      <c r="B111" s="5"/>
      <c r="D111" s="5"/>
      <c r="E111" s="6"/>
      <c r="F111" s="5"/>
      <c r="G111" s="5"/>
      <c r="H111" s="5"/>
      <c r="I111" s="5"/>
    </row>
  </sheetData>
  <mergeCells count="1">
    <mergeCell ref="L39:T39"/>
  </mergeCells>
  <pageMargins left="0.31" right="0.22" top="0.46" bottom="0.45" header="0.3" footer="0.3"/>
  <pageSetup paperSize="9" scale="5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Потоцкая Наталия Мирославовна</dc:creator>
  <cp:lastModifiedBy>Мартынчук Наталья Николаевна</cp:lastModifiedBy>
  <cp:lastPrinted>2026-06-03T12:04:31Z</cp:lastPrinted>
  <dcterms:created xsi:type="dcterms:W3CDTF">2015-06-05T18:19:34Z</dcterms:created>
  <dcterms:modified xsi:type="dcterms:W3CDTF">2026-06-03T12:12:44Z</dcterms:modified>
</cp:coreProperties>
</file>