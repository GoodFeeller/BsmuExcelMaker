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I:\!!! ДЕЖУРСТВО специалистов ООСО\ИЮНЬ\02.06.2026 Потоцкая Н.М\"/>
    </mc:Choice>
  </mc:AlternateContent>
  <xr:revisionPtr revIDLastSave="0" documentId="13_ncr:1_{06CC416B-960D-4929-9CDE-1056A2CFCA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7" i="2" l="1"/>
  <c r="R37" i="2"/>
  <c r="Q37" i="2"/>
  <c r="O37" i="2"/>
  <c r="N37" i="2"/>
  <c r="M37" i="2"/>
  <c r="L37" i="2"/>
  <c r="K37" i="2"/>
  <c r="J37" i="2"/>
</calcChain>
</file>

<file path=xl/sharedStrings.xml><?xml version="1.0" encoding="utf-8"?>
<sst xmlns="http://schemas.openxmlformats.org/spreadsheetml/2006/main" count="181" uniqueCount="80">
  <si>
    <t>ПК</t>
  </si>
  <si>
    <t>ПП</t>
  </si>
  <si>
    <t>КО</t>
  </si>
  <si>
    <t>Время</t>
  </si>
  <si>
    <t>План</t>
  </si>
  <si>
    <t>Кол-во посещений, по факту</t>
  </si>
  <si>
    <t>Аттестация</t>
  </si>
  <si>
    <t>Кабинет</t>
  </si>
  <si>
    <t>И</t>
  </si>
  <si>
    <t>Обучающиеся</t>
  </si>
  <si>
    <t>Название кафедры</t>
  </si>
  <si>
    <t>ФИО преподавателя</t>
  </si>
  <si>
    <t>Прочее</t>
  </si>
  <si>
    <t>Студенты МФИУ</t>
  </si>
  <si>
    <t>Кол-во обучающихся (подушно), по факту</t>
  </si>
  <si>
    <t>Студенты (БГМУ, СО, курсанты ВМИ)</t>
  </si>
  <si>
    <t>Дата</t>
  </si>
  <si>
    <r>
      <t xml:space="preserve"> Наименование образовательной программы </t>
    </r>
    <r>
      <rPr>
        <sz val="10"/>
        <color rgb="FFFF0000"/>
        <rFont val="Times New Roman"/>
        <family val="1"/>
        <charset val="204"/>
      </rPr>
      <t xml:space="preserve">(ИПКиПКЗ, БГМУ) </t>
    </r>
    <r>
      <rPr>
        <sz val="10"/>
        <color theme="1"/>
        <rFont val="Times New Roman"/>
        <family val="1"/>
        <charset val="204"/>
      </rPr>
      <t>/</t>
    </r>
    <r>
      <rPr>
        <sz val="10"/>
        <color rgb="FFFF0000"/>
        <rFont val="Times New Roman"/>
        <family val="1"/>
        <charset val="204"/>
      </rPr>
      <t xml:space="preserve">     </t>
    </r>
    <r>
      <rPr>
        <sz val="10"/>
        <color theme="1"/>
        <rFont val="Times New Roman"/>
        <family val="1"/>
        <charset val="204"/>
      </rPr>
      <t xml:space="preserve">                         Тема учебного занятия </t>
    </r>
    <r>
      <rPr>
        <sz val="10"/>
        <color rgb="FFFF0000"/>
        <rFont val="Times New Roman"/>
        <family val="1"/>
        <charset val="204"/>
      </rPr>
      <t>(БГМУ)</t>
    </r>
    <r>
      <rPr>
        <sz val="10"/>
        <color theme="1"/>
        <rFont val="Times New Roman"/>
        <family val="1"/>
        <charset val="204"/>
      </rPr>
      <t xml:space="preserve">                                       </t>
    </r>
  </si>
  <si>
    <r>
      <t xml:space="preserve">№ образовательной программы </t>
    </r>
    <r>
      <rPr>
        <sz val="10"/>
        <color rgb="FFFF0000"/>
        <rFont val="Times New Roman"/>
        <family val="1"/>
        <charset val="204"/>
      </rPr>
      <t>(ПК, ПП)</t>
    </r>
    <r>
      <rPr>
        <sz val="10"/>
        <color theme="1"/>
        <rFont val="Times New Roman"/>
        <family val="1"/>
        <charset val="204"/>
      </rPr>
      <t xml:space="preserve">/№ курса, группы </t>
    </r>
    <r>
      <rPr>
        <sz val="10"/>
        <color rgb="FFFF0000"/>
        <rFont val="Times New Roman"/>
        <family val="1"/>
        <charset val="204"/>
      </rPr>
      <t>(БГМУ, ВМИ, МФИУ)</t>
    </r>
  </si>
  <si>
    <t>12.00-13.00</t>
  </si>
  <si>
    <t>Экскурсия</t>
  </si>
  <si>
    <t>Учащиеся химико-биологических классов УО Ленинского района г. Минска</t>
  </si>
  <si>
    <t>Пуренок О.Л.</t>
  </si>
  <si>
    <t>08.30-12.00</t>
  </si>
  <si>
    <t>Диагностика и лечение заболеваний носа и околоносовых пазух</t>
  </si>
  <si>
    <t>Оториноларингологии с курсом ПК и ПП БГМУ</t>
  </si>
  <si>
    <t>Меркулова Е.П., Чайковский В.В., Жилко В.С.</t>
  </si>
  <si>
    <t>13.00-13.45</t>
  </si>
  <si>
    <t>13.30</t>
  </si>
  <si>
    <t>КО экзамен</t>
  </si>
  <si>
    <t>БСЛР (специальность "Челюстно-лицевая хирургия")</t>
  </si>
  <si>
    <t>Гричанюк Д.А., Людчик Т.Б.</t>
  </si>
  <si>
    <t>12.30-15.20</t>
  </si>
  <si>
    <t>Устное собеседование (специальность "Челюстно-лицевая хирургия")</t>
  </si>
  <si>
    <t>Наложение и снятие узловых швов (специальность "Челюстно-лицевая хирургия")</t>
  </si>
  <si>
    <t>08.00-09.00</t>
  </si>
  <si>
    <t>Тренировка слушателя ПК 322</t>
  </si>
  <si>
    <t>Репродуктивного здоровья, перинатологии и медицинской генетики ИПКиПКЗ</t>
  </si>
  <si>
    <t>Хвалько Р.В.</t>
  </si>
  <si>
    <t>12.00-16.00</t>
  </si>
  <si>
    <t>Реанимация, интенсивная терапия 
критических состояний</t>
  </si>
  <si>
    <t>Скорой медицинской помощи и медицины катастроф ИПКиПКЗ</t>
  </si>
  <si>
    <t>Станишевский А.Л., Тарасевич В.Н.</t>
  </si>
  <si>
    <t>09.00-11.30</t>
  </si>
  <si>
    <t>13.30-16.00</t>
  </si>
  <si>
    <t>БГМУ</t>
  </si>
  <si>
    <t>Гигиены труда БГМУ</t>
  </si>
  <si>
    <t>Храповицкая А.М.</t>
  </si>
  <si>
    <t>12.30-14.15</t>
  </si>
  <si>
    <t>14.15-14.30</t>
  </si>
  <si>
    <t>Диагностика и лечение заболеваний женской репродуктивной системы. Гинекологическая эндокринология. Гинекология детского возраста</t>
  </si>
  <si>
    <t>Акушерства и гинекологии ИПКиПКЗ</t>
  </si>
  <si>
    <t>Небышинец Л.М.</t>
  </si>
  <si>
    <t>08.00-10.15</t>
  </si>
  <si>
    <t>Хирургическая стоматология</t>
  </si>
  <si>
    <t>Хирургической стоматологии БГМУ</t>
  </si>
  <si>
    <t>Ортопедической стоматологии и ортодонтии БГМУ</t>
  </si>
  <si>
    <t>Эндодонтия</t>
  </si>
  <si>
    <t>Эндодонтии БГМУ</t>
  </si>
  <si>
    <t>09.00-12.00</t>
  </si>
  <si>
    <t>Верес И.А., Малолеткина О.Л., Кручинская А.Н.</t>
  </si>
  <si>
    <t>09.00-16.00</t>
  </si>
  <si>
    <t>ТМ</t>
  </si>
  <si>
    <t>Инструктаж по тактической медицине</t>
  </si>
  <si>
    <t>Организации медицинского обеспечения войск и медицины катастроф ВМИ</t>
  </si>
  <si>
    <t>Атрощенко О.В.</t>
  </si>
  <si>
    <t>12.00-15.00</t>
  </si>
  <si>
    <t>Апробация паспорта ОСКЭ "Передняя тампонада носа"</t>
  </si>
  <si>
    <t>Чайковский В.В.</t>
  </si>
  <si>
    <t>Специальность "Педиатрия и неонатология"</t>
  </si>
  <si>
    <t>Артюшевская М.В.</t>
  </si>
  <si>
    <t>13.00-14.25</t>
  </si>
  <si>
    <t>08.00-11.50</t>
  </si>
  <si>
    <t>Головко И.П.</t>
  </si>
  <si>
    <t>Консервативная  стоматология</t>
  </si>
  <si>
    <t>09.00-13.00</t>
  </si>
  <si>
    <t>Жилко В.С.</t>
  </si>
  <si>
    <t>Дегтярева И.И. Шишкова В.И.</t>
  </si>
  <si>
    <t>Андреева В.А.</t>
  </si>
  <si>
    <t>13.15-15.20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</si>
</sst>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/>
    <xf numFmtId="49" fontId="3" fillId="0" borderId="0" xfId="0" applyNumberFormat="1" applyFont="1"/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49" fontId="3" fillId="0" borderId="1" xfId="0" applyNumberFormat="1" applyFont="1" applyBorder="1"/>
    <xf numFmtId="0" fontId="0" fillId="0" borderId="1" xfId="0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3" fillId="0" borderId="1" xfId="0" applyFont="1" applyFill="1" applyBorder="1"/>
    <xf numFmtId="0" fontId="3" fillId="0" borderId="0" xfId="0" applyFont="1" applyFill="1"/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49" fontId="3" fillId="0" borderId="1" xfId="0" applyNumberFormat="1" applyFont="1" applyFill="1" applyBorder="1"/>
  </cellXfs>
  <cellStyles count="2">
    <cellStyle name="Обычный" xfId="0" builtinId="0"/>
    <cellStyle name="Обычный 2" xfId="1" xr:uid="{458C62A8-95B6-4819-81E6-E912A5062E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921D-D189-403A-934D-FD04DC6DDC5B}">
  <sheetPr>
    <pageSetUpPr fitToPage="1"/>
  </sheetPr>
  <dimension ref="A1:S104"/>
  <sheetViews>
    <sheetView tabSelected="1" workbookViewId="0">
      <pane ySplit="1" topLeftCell="A31" activePane="bottomLeft" state="frozen"/>
      <selection pane="bottomLeft" sqref="A1:S40"/>
    </sheetView>
  </sheetViews>
  <sheetFormatPr defaultRowHeight="12.75" x14ac:dyDescent="0.2"/>
  <cols>
    <col min="1" max="1" width="8.7109375" style="2" customWidth="1"/>
    <col min="2" max="2" width="13.28515625" style="2" customWidth="1"/>
    <col min="3" max="3" width="12" style="2" customWidth="1"/>
    <col min="4" max="4" width="15.85546875" style="2" customWidth="1"/>
    <col min="5" max="5" width="25.28515625" style="3" customWidth="1"/>
    <col min="6" max="6" width="28.28515625" style="2" customWidth="1"/>
    <col min="7" max="7" width="22.5703125" style="2" customWidth="1"/>
    <col min="8" max="8" width="9.140625" style="2"/>
    <col min="9" max="9" width="21.140625" style="2" customWidth="1"/>
    <col min="10" max="10" width="11.28515625" style="2" customWidth="1"/>
    <col min="11" max="11" width="11.7109375" style="2" customWidth="1"/>
    <col min="12" max="15" width="9.140625" style="2"/>
    <col min="16" max="16" width="10.42578125" style="2" customWidth="1"/>
    <col min="17" max="16384" width="9.140625" style="2"/>
  </cols>
  <sheetData>
    <row r="1" spans="1:19" ht="74.25" customHeight="1" x14ac:dyDescent="0.2">
      <c r="A1" s="1" t="s">
        <v>7</v>
      </c>
      <c r="B1" s="1" t="s">
        <v>16</v>
      </c>
      <c r="C1" s="1" t="s">
        <v>3</v>
      </c>
      <c r="D1" s="1" t="s">
        <v>9</v>
      </c>
      <c r="E1" s="4" t="s">
        <v>18</v>
      </c>
      <c r="F1" s="1" t="s">
        <v>17</v>
      </c>
      <c r="G1" s="1" t="s">
        <v>10</v>
      </c>
      <c r="H1" s="1" t="s">
        <v>4</v>
      </c>
      <c r="I1" s="1" t="s">
        <v>11</v>
      </c>
      <c r="J1" s="1" t="s">
        <v>5</v>
      </c>
      <c r="K1" s="1" t="s">
        <v>14</v>
      </c>
      <c r="L1" s="1" t="s">
        <v>2</v>
      </c>
      <c r="M1" s="1" t="s">
        <v>8</v>
      </c>
      <c r="N1" s="1" t="s">
        <v>0</v>
      </c>
      <c r="O1" s="1" t="s">
        <v>1</v>
      </c>
      <c r="P1" s="1" t="s">
        <v>6</v>
      </c>
      <c r="Q1" s="1" t="s">
        <v>15</v>
      </c>
      <c r="R1" s="1" t="s">
        <v>13</v>
      </c>
      <c r="S1" s="1" t="s">
        <v>12</v>
      </c>
    </row>
    <row r="2" spans="1:19" s="12" customFormat="1" ht="45" x14ac:dyDescent="0.2">
      <c r="A2" s="7">
        <v>200</v>
      </c>
      <c r="B2" s="8">
        <v>46175</v>
      </c>
      <c r="C2" s="9" t="s">
        <v>19</v>
      </c>
      <c r="D2" s="7" t="s">
        <v>20</v>
      </c>
      <c r="E2" s="7"/>
      <c r="F2" s="10" t="s">
        <v>21</v>
      </c>
      <c r="G2" s="10"/>
      <c r="H2" s="7">
        <v>30</v>
      </c>
      <c r="I2" s="10" t="s">
        <v>22</v>
      </c>
      <c r="J2" s="11">
        <v>30</v>
      </c>
      <c r="K2" s="11">
        <v>30</v>
      </c>
      <c r="L2" s="11"/>
      <c r="M2" s="11"/>
      <c r="N2" s="11"/>
      <c r="O2" s="11"/>
      <c r="P2" s="11"/>
      <c r="Q2" s="11"/>
      <c r="R2" s="11"/>
      <c r="S2" s="11">
        <v>30</v>
      </c>
    </row>
    <row r="3" spans="1:19" s="12" customFormat="1" ht="60" customHeight="1" x14ac:dyDescent="0.2">
      <c r="A3" s="13">
        <v>202</v>
      </c>
      <c r="B3" s="8">
        <v>46175</v>
      </c>
      <c r="C3" s="9" t="s">
        <v>23</v>
      </c>
      <c r="D3" s="14" t="s">
        <v>0</v>
      </c>
      <c r="E3" s="14">
        <v>738</v>
      </c>
      <c r="F3" s="15" t="s">
        <v>24</v>
      </c>
      <c r="G3" s="10" t="s">
        <v>25</v>
      </c>
      <c r="H3" s="7">
        <v>25</v>
      </c>
      <c r="I3" s="10" t="s">
        <v>26</v>
      </c>
      <c r="J3" s="11">
        <v>30</v>
      </c>
      <c r="K3" s="11">
        <v>30</v>
      </c>
      <c r="L3" s="11"/>
      <c r="M3" s="11"/>
      <c r="N3" s="11">
        <v>30</v>
      </c>
      <c r="O3" s="11"/>
      <c r="P3" s="11"/>
      <c r="Q3" s="11"/>
      <c r="R3" s="11"/>
      <c r="S3" s="11"/>
    </row>
    <row r="4" spans="1:19" s="12" customFormat="1" ht="105" x14ac:dyDescent="0.25">
      <c r="A4" s="13">
        <v>202</v>
      </c>
      <c r="B4" s="8">
        <v>46175</v>
      </c>
      <c r="C4" s="9" t="s">
        <v>71</v>
      </c>
      <c r="D4" s="14" t="s">
        <v>0</v>
      </c>
      <c r="E4" s="14">
        <v>7</v>
      </c>
      <c r="F4" s="16" t="s">
        <v>50</v>
      </c>
      <c r="G4" s="10" t="s">
        <v>51</v>
      </c>
      <c r="H4" s="7">
        <v>30</v>
      </c>
      <c r="I4" s="10" t="s">
        <v>52</v>
      </c>
      <c r="J4" s="11">
        <v>33</v>
      </c>
      <c r="K4" s="11">
        <v>33</v>
      </c>
      <c r="L4" s="11"/>
      <c r="M4" s="11"/>
      <c r="N4" s="11">
        <v>33</v>
      </c>
      <c r="O4" s="11"/>
      <c r="P4" s="11"/>
      <c r="Q4" s="11"/>
      <c r="R4" s="11"/>
      <c r="S4" s="11"/>
    </row>
    <row r="5" spans="1:19" s="12" customFormat="1" ht="105" x14ac:dyDescent="0.2">
      <c r="A5" s="7">
        <v>203</v>
      </c>
      <c r="B5" s="8">
        <v>46175</v>
      </c>
      <c r="C5" s="9" t="s">
        <v>27</v>
      </c>
      <c r="D5" s="17" t="s">
        <v>21</v>
      </c>
      <c r="E5" s="7"/>
      <c r="F5" s="10" t="s">
        <v>21</v>
      </c>
      <c r="G5" s="10"/>
      <c r="H5" s="7">
        <v>30</v>
      </c>
      <c r="I5" s="10" t="s">
        <v>22</v>
      </c>
      <c r="J5" s="11">
        <v>30</v>
      </c>
      <c r="K5" s="11"/>
      <c r="L5" s="11"/>
      <c r="M5" s="11"/>
      <c r="N5" s="11"/>
      <c r="O5" s="11"/>
      <c r="P5" s="11"/>
      <c r="Q5" s="11"/>
      <c r="R5" s="11"/>
      <c r="S5" s="11"/>
    </row>
    <row r="6" spans="1:19" s="12" customFormat="1" ht="54" customHeight="1" x14ac:dyDescent="0.2">
      <c r="A6" s="13">
        <v>303</v>
      </c>
      <c r="B6" s="8">
        <v>46175</v>
      </c>
      <c r="C6" s="9" t="s">
        <v>28</v>
      </c>
      <c r="D6" s="14" t="s">
        <v>29</v>
      </c>
      <c r="E6" s="14"/>
      <c r="F6" s="15" t="s">
        <v>30</v>
      </c>
      <c r="G6" s="10"/>
      <c r="H6" s="7"/>
      <c r="I6" s="10" t="s">
        <v>31</v>
      </c>
      <c r="J6" s="11">
        <v>1</v>
      </c>
      <c r="K6" s="11">
        <v>1</v>
      </c>
      <c r="L6" s="11">
        <v>1</v>
      </c>
      <c r="M6" s="11"/>
      <c r="N6" s="11"/>
      <c r="O6" s="11"/>
      <c r="P6" s="11"/>
      <c r="Q6" s="11"/>
      <c r="R6" s="11"/>
      <c r="S6" s="11"/>
    </row>
    <row r="7" spans="1:19" s="12" customFormat="1" ht="54" customHeight="1" x14ac:dyDescent="0.2">
      <c r="A7" s="13">
        <v>303</v>
      </c>
      <c r="B7" s="8">
        <v>46175</v>
      </c>
      <c r="C7" s="9" t="s">
        <v>44</v>
      </c>
      <c r="D7" s="14" t="s">
        <v>45</v>
      </c>
      <c r="E7" s="14">
        <v>3310</v>
      </c>
      <c r="F7" s="15"/>
      <c r="G7" s="10" t="s">
        <v>46</v>
      </c>
      <c r="H7" s="7"/>
      <c r="I7" s="10" t="s">
        <v>47</v>
      </c>
      <c r="J7" s="11">
        <v>11</v>
      </c>
      <c r="K7" s="11">
        <v>11</v>
      </c>
      <c r="L7" s="11"/>
      <c r="M7" s="11"/>
      <c r="N7" s="11"/>
      <c r="O7" s="11"/>
      <c r="P7" s="11"/>
      <c r="Q7" s="11">
        <v>11</v>
      </c>
      <c r="R7" s="11"/>
      <c r="S7" s="11"/>
    </row>
    <row r="8" spans="1:19" s="12" customFormat="1" ht="45" x14ac:dyDescent="0.2">
      <c r="A8" s="13">
        <v>304</v>
      </c>
      <c r="B8" s="8">
        <v>46175</v>
      </c>
      <c r="C8" s="9" t="s">
        <v>32</v>
      </c>
      <c r="D8" s="14" t="s">
        <v>0</v>
      </c>
      <c r="E8" s="14">
        <v>738</v>
      </c>
      <c r="F8" s="15" t="s">
        <v>24</v>
      </c>
      <c r="G8" s="10" t="s">
        <v>25</v>
      </c>
      <c r="H8" s="7">
        <v>25</v>
      </c>
      <c r="I8" s="10" t="s">
        <v>26</v>
      </c>
      <c r="J8" s="11">
        <v>29</v>
      </c>
      <c r="K8" s="11"/>
      <c r="L8" s="11"/>
      <c r="M8" s="11"/>
      <c r="N8" s="11"/>
      <c r="O8" s="11"/>
      <c r="P8" s="11"/>
      <c r="Q8" s="11"/>
      <c r="R8" s="11"/>
      <c r="S8" s="11"/>
    </row>
    <row r="9" spans="1:19" s="12" customFormat="1" ht="30" x14ac:dyDescent="0.2">
      <c r="A9" s="13">
        <v>307</v>
      </c>
      <c r="B9" s="8">
        <v>46175</v>
      </c>
      <c r="C9" s="9" t="s">
        <v>72</v>
      </c>
      <c r="D9" s="14" t="s">
        <v>45</v>
      </c>
      <c r="E9" s="14">
        <v>7313</v>
      </c>
      <c r="F9" s="15" t="s">
        <v>54</v>
      </c>
      <c r="G9" s="10" t="s">
        <v>55</v>
      </c>
      <c r="H9" s="7"/>
      <c r="I9" s="10" t="s">
        <v>73</v>
      </c>
      <c r="J9" s="11">
        <v>6</v>
      </c>
      <c r="K9" s="11">
        <v>6</v>
      </c>
      <c r="L9" s="11"/>
      <c r="M9" s="11"/>
      <c r="N9" s="11"/>
      <c r="O9" s="11"/>
      <c r="P9" s="11"/>
      <c r="Q9" s="11">
        <v>6</v>
      </c>
      <c r="R9" s="11"/>
      <c r="S9" s="11"/>
    </row>
    <row r="10" spans="1:19" s="12" customFormat="1" ht="45" x14ac:dyDescent="0.2">
      <c r="A10" s="13">
        <v>307</v>
      </c>
      <c r="B10" s="8">
        <v>46175</v>
      </c>
      <c r="C10" s="9" t="s">
        <v>28</v>
      </c>
      <c r="D10" s="14" t="s">
        <v>29</v>
      </c>
      <c r="E10" s="14"/>
      <c r="F10" s="15" t="s">
        <v>33</v>
      </c>
      <c r="G10" s="10"/>
      <c r="H10" s="7"/>
      <c r="I10" s="10" t="s">
        <v>31</v>
      </c>
      <c r="J10" s="11">
        <v>1</v>
      </c>
      <c r="K10" s="11"/>
      <c r="L10" s="11"/>
      <c r="M10" s="11"/>
      <c r="N10" s="11"/>
      <c r="O10" s="11"/>
      <c r="P10" s="11"/>
      <c r="Q10" s="11"/>
      <c r="R10" s="11"/>
      <c r="S10" s="11"/>
    </row>
    <row r="11" spans="1:19" s="12" customFormat="1" ht="30" x14ac:dyDescent="0.2">
      <c r="A11" s="13">
        <v>308</v>
      </c>
      <c r="B11" s="8">
        <v>46175</v>
      </c>
      <c r="C11" s="9" t="s">
        <v>72</v>
      </c>
      <c r="D11" s="14" t="s">
        <v>45</v>
      </c>
      <c r="E11" s="14">
        <v>7313</v>
      </c>
      <c r="F11" s="15" t="s">
        <v>54</v>
      </c>
      <c r="G11" s="10" t="s">
        <v>55</v>
      </c>
      <c r="H11" s="7"/>
      <c r="I11" s="10" t="s">
        <v>73</v>
      </c>
      <c r="J11" s="11">
        <v>6</v>
      </c>
      <c r="K11" s="11"/>
      <c r="L11" s="11"/>
      <c r="M11" s="11"/>
      <c r="N11" s="11"/>
      <c r="O11" s="11"/>
      <c r="P11" s="11"/>
      <c r="Q11" s="11"/>
      <c r="R11" s="11"/>
      <c r="S11" s="11"/>
    </row>
    <row r="12" spans="1:19" s="12" customFormat="1" ht="58.5" customHeight="1" x14ac:dyDescent="0.2">
      <c r="A12" s="13">
        <v>308</v>
      </c>
      <c r="B12" s="8">
        <v>46175</v>
      </c>
      <c r="C12" s="9" t="s">
        <v>28</v>
      </c>
      <c r="D12" s="14" t="s">
        <v>29</v>
      </c>
      <c r="E12" s="14"/>
      <c r="F12" s="15" t="s">
        <v>34</v>
      </c>
      <c r="G12" s="10"/>
      <c r="H12" s="7"/>
      <c r="I12" s="10" t="s">
        <v>31</v>
      </c>
      <c r="J12" s="11">
        <v>1</v>
      </c>
      <c r="K12" s="11"/>
      <c r="L12" s="11"/>
      <c r="M12" s="11"/>
      <c r="N12" s="11"/>
      <c r="O12" s="11"/>
      <c r="P12" s="11"/>
      <c r="Q12" s="11"/>
      <c r="R12" s="11"/>
      <c r="S12" s="11"/>
    </row>
    <row r="13" spans="1:19" s="12" customFormat="1" ht="68.25" customHeight="1" x14ac:dyDescent="0.2">
      <c r="A13" s="13">
        <v>309</v>
      </c>
      <c r="B13" s="8">
        <v>46175</v>
      </c>
      <c r="C13" s="9" t="s">
        <v>53</v>
      </c>
      <c r="D13" s="14" t="s">
        <v>45</v>
      </c>
      <c r="E13" s="14">
        <v>6347</v>
      </c>
      <c r="F13" s="15" t="s">
        <v>74</v>
      </c>
      <c r="G13" s="10" t="s">
        <v>56</v>
      </c>
      <c r="H13" s="7"/>
      <c r="I13" s="10" t="s">
        <v>77</v>
      </c>
      <c r="J13" s="11">
        <v>8</v>
      </c>
      <c r="K13" s="11">
        <v>8</v>
      </c>
      <c r="L13" s="11"/>
      <c r="M13" s="11"/>
      <c r="N13" s="11"/>
      <c r="O13" s="11"/>
      <c r="P13" s="11"/>
      <c r="Q13" s="11"/>
      <c r="R13" s="11">
        <v>8</v>
      </c>
      <c r="S13" s="11"/>
    </row>
    <row r="14" spans="1:19" s="12" customFormat="1" ht="55.5" customHeight="1" x14ac:dyDescent="0.2">
      <c r="A14" s="13">
        <v>309</v>
      </c>
      <c r="B14" s="8">
        <v>46175</v>
      </c>
      <c r="C14" s="9" t="s">
        <v>79</v>
      </c>
      <c r="D14" s="14" t="s">
        <v>45</v>
      </c>
      <c r="E14" s="14">
        <v>7304</v>
      </c>
      <c r="F14" s="15" t="s">
        <v>57</v>
      </c>
      <c r="G14" s="10" t="s">
        <v>58</v>
      </c>
      <c r="H14" s="7"/>
      <c r="I14" s="10" t="s">
        <v>78</v>
      </c>
      <c r="J14" s="11">
        <v>13</v>
      </c>
      <c r="K14" s="11">
        <v>13</v>
      </c>
      <c r="L14" s="11"/>
      <c r="M14" s="11"/>
      <c r="N14" s="11"/>
      <c r="O14" s="11"/>
      <c r="P14" s="11"/>
      <c r="Q14" s="11">
        <v>13</v>
      </c>
      <c r="R14" s="11"/>
      <c r="S14" s="11"/>
    </row>
    <row r="15" spans="1:19" s="12" customFormat="1" ht="55.5" customHeight="1" x14ac:dyDescent="0.2">
      <c r="A15" s="13">
        <v>310</v>
      </c>
      <c r="B15" s="8">
        <v>46175</v>
      </c>
      <c r="C15" s="9" t="s">
        <v>79</v>
      </c>
      <c r="D15" s="14" t="s">
        <v>45</v>
      </c>
      <c r="E15" s="14">
        <v>7304</v>
      </c>
      <c r="F15" s="15" t="s">
        <v>57</v>
      </c>
      <c r="G15" s="10" t="s">
        <v>58</v>
      </c>
      <c r="H15" s="7"/>
      <c r="I15" s="10" t="s">
        <v>78</v>
      </c>
      <c r="J15" s="11">
        <v>13</v>
      </c>
      <c r="K15" s="11"/>
      <c r="L15" s="11"/>
      <c r="M15" s="11"/>
      <c r="N15" s="11"/>
      <c r="O15" s="11"/>
      <c r="P15" s="11"/>
      <c r="Q15" s="11"/>
      <c r="R15" s="11"/>
      <c r="S15" s="11"/>
    </row>
    <row r="16" spans="1:19" s="12" customFormat="1" ht="87.75" customHeight="1" x14ac:dyDescent="0.2">
      <c r="A16" s="13">
        <v>311</v>
      </c>
      <c r="B16" s="8">
        <v>46175</v>
      </c>
      <c r="C16" s="9" t="s">
        <v>35</v>
      </c>
      <c r="D16" s="18" t="s">
        <v>36</v>
      </c>
      <c r="E16" s="14"/>
      <c r="F16" s="15"/>
      <c r="G16" s="10" t="s">
        <v>37</v>
      </c>
      <c r="H16" s="7">
        <v>1</v>
      </c>
      <c r="I16" s="10" t="s">
        <v>38</v>
      </c>
      <c r="J16" s="11">
        <v>1</v>
      </c>
      <c r="K16" s="11">
        <v>1</v>
      </c>
      <c r="L16" s="11"/>
      <c r="M16" s="11"/>
      <c r="N16" s="11"/>
      <c r="O16" s="11"/>
      <c r="P16" s="11"/>
      <c r="Q16" s="11"/>
      <c r="R16" s="11"/>
      <c r="S16" s="11">
        <v>1</v>
      </c>
    </row>
    <row r="17" spans="1:19" s="12" customFormat="1" ht="86.25" customHeight="1" x14ac:dyDescent="0.25">
      <c r="A17" s="7">
        <v>403</v>
      </c>
      <c r="B17" s="8">
        <v>46175</v>
      </c>
      <c r="C17" s="19" t="s">
        <v>59</v>
      </c>
      <c r="D17" s="7" t="s">
        <v>0</v>
      </c>
      <c r="E17" s="17">
        <v>7</v>
      </c>
      <c r="F17" s="16" t="s">
        <v>50</v>
      </c>
      <c r="G17" s="10" t="s">
        <v>51</v>
      </c>
      <c r="H17" s="7">
        <v>10</v>
      </c>
      <c r="I17" s="10" t="s">
        <v>60</v>
      </c>
      <c r="J17" s="11">
        <v>11</v>
      </c>
      <c r="K17" s="11"/>
      <c r="L17" s="11"/>
      <c r="M17" s="11"/>
      <c r="N17" s="11"/>
      <c r="O17" s="11"/>
      <c r="P17" s="11"/>
      <c r="Q17" s="11"/>
      <c r="R17" s="11"/>
      <c r="S17" s="11"/>
    </row>
    <row r="18" spans="1:19" s="12" customFormat="1" ht="45" x14ac:dyDescent="0.2">
      <c r="A18" s="13">
        <v>405</v>
      </c>
      <c r="B18" s="8">
        <v>46175</v>
      </c>
      <c r="C18" s="9" t="s">
        <v>32</v>
      </c>
      <c r="D18" s="14" t="s">
        <v>0</v>
      </c>
      <c r="E18" s="14">
        <v>738</v>
      </c>
      <c r="F18" s="15" t="s">
        <v>24</v>
      </c>
      <c r="G18" s="10" t="s">
        <v>25</v>
      </c>
      <c r="H18" s="7">
        <v>25</v>
      </c>
      <c r="I18" s="10" t="s">
        <v>26</v>
      </c>
      <c r="J18" s="11">
        <v>30</v>
      </c>
      <c r="K18" s="11"/>
      <c r="L18" s="11"/>
      <c r="M18" s="11"/>
      <c r="N18" s="11"/>
      <c r="O18" s="11"/>
      <c r="P18" s="11"/>
      <c r="Q18" s="11"/>
      <c r="R18" s="11"/>
      <c r="S18" s="11"/>
    </row>
    <row r="19" spans="1:19" s="12" customFormat="1" ht="54.75" customHeight="1" x14ac:dyDescent="0.2">
      <c r="A19" s="13">
        <v>406</v>
      </c>
      <c r="B19" s="8">
        <v>46175</v>
      </c>
      <c r="C19" s="9" t="s">
        <v>61</v>
      </c>
      <c r="D19" s="14" t="s">
        <v>45</v>
      </c>
      <c r="E19" s="14" t="s">
        <v>62</v>
      </c>
      <c r="F19" s="15" t="s">
        <v>63</v>
      </c>
      <c r="G19" s="10" t="s">
        <v>64</v>
      </c>
      <c r="H19" s="7">
        <v>8</v>
      </c>
      <c r="I19" s="10" t="s">
        <v>65</v>
      </c>
      <c r="J19" s="11">
        <v>6</v>
      </c>
      <c r="K19" s="11">
        <v>6</v>
      </c>
      <c r="L19" s="11"/>
      <c r="M19" s="11"/>
      <c r="N19" s="11"/>
      <c r="O19" s="11"/>
      <c r="P19" s="11"/>
      <c r="Q19" s="11"/>
      <c r="R19" s="11"/>
      <c r="S19" s="11">
        <v>6</v>
      </c>
    </row>
    <row r="20" spans="1:19" s="12" customFormat="1" ht="30" x14ac:dyDescent="0.2">
      <c r="A20" s="13">
        <v>408</v>
      </c>
      <c r="B20" s="8">
        <v>46175</v>
      </c>
      <c r="C20" s="9" t="s">
        <v>66</v>
      </c>
      <c r="D20" s="14" t="s">
        <v>0</v>
      </c>
      <c r="E20" s="14">
        <v>738</v>
      </c>
      <c r="F20" s="15" t="s">
        <v>67</v>
      </c>
      <c r="G20" s="10" t="s">
        <v>25</v>
      </c>
      <c r="H20" s="7">
        <v>25</v>
      </c>
      <c r="I20" s="10" t="s">
        <v>68</v>
      </c>
      <c r="J20" s="11">
        <v>30</v>
      </c>
      <c r="K20" s="11"/>
      <c r="L20" s="11"/>
      <c r="M20" s="11"/>
      <c r="N20" s="11"/>
      <c r="O20" s="11"/>
      <c r="P20" s="11"/>
      <c r="Q20" s="11"/>
      <c r="R20" s="11"/>
      <c r="S20" s="11"/>
    </row>
    <row r="21" spans="1:19" s="12" customFormat="1" ht="45" x14ac:dyDescent="0.2">
      <c r="A21" s="13">
        <v>409</v>
      </c>
      <c r="B21" s="8">
        <v>46175</v>
      </c>
      <c r="C21" s="9" t="s">
        <v>43</v>
      </c>
      <c r="D21" s="14" t="s">
        <v>0</v>
      </c>
      <c r="E21" s="14">
        <v>369</v>
      </c>
      <c r="F21" s="15" t="s">
        <v>40</v>
      </c>
      <c r="G21" s="10" t="s">
        <v>41</v>
      </c>
      <c r="H21" s="7">
        <v>12</v>
      </c>
      <c r="I21" s="10" t="s">
        <v>42</v>
      </c>
      <c r="J21" s="11">
        <v>17</v>
      </c>
      <c r="K21" s="11">
        <v>17</v>
      </c>
      <c r="L21" s="11"/>
      <c r="M21" s="11"/>
      <c r="N21" s="11">
        <v>17</v>
      </c>
      <c r="O21" s="11"/>
      <c r="P21" s="11"/>
      <c r="Q21" s="11"/>
      <c r="R21" s="11"/>
      <c r="S21" s="11"/>
    </row>
    <row r="22" spans="1:19" s="12" customFormat="1" ht="45" x14ac:dyDescent="0.2">
      <c r="A22" s="13">
        <v>409</v>
      </c>
      <c r="B22" s="8">
        <v>46175</v>
      </c>
      <c r="C22" s="9" t="s">
        <v>43</v>
      </c>
      <c r="D22" s="14" t="s">
        <v>2</v>
      </c>
      <c r="E22" s="14"/>
      <c r="F22" s="15" t="s">
        <v>40</v>
      </c>
      <c r="G22" s="10" t="s">
        <v>41</v>
      </c>
      <c r="H22" s="7">
        <v>3</v>
      </c>
      <c r="I22" s="10" t="s">
        <v>42</v>
      </c>
      <c r="J22" s="11">
        <v>3</v>
      </c>
      <c r="K22" s="11">
        <v>3</v>
      </c>
      <c r="L22" s="11">
        <v>3</v>
      </c>
      <c r="M22" s="11"/>
      <c r="N22" s="11"/>
      <c r="O22" s="11"/>
      <c r="P22" s="11"/>
      <c r="Q22" s="11"/>
      <c r="R22" s="11"/>
      <c r="S22" s="11"/>
    </row>
    <row r="23" spans="1:19" s="12" customFormat="1" ht="45" x14ac:dyDescent="0.2">
      <c r="A23" s="13">
        <v>410</v>
      </c>
      <c r="B23" s="8">
        <v>46175</v>
      </c>
      <c r="C23" s="9" t="s">
        <v>39</v>
      </c>
      <c r="D23" s="14" t="s">
        <v>0</v>
      </c>
      <c r="E23" s="14">
        <v>369</v>
      </c>
      <c r="F23" s="15" t="s">
        <v>40</v>
      </c>
      <c r="G23" s="10" t="s">
        <v>41</v>
      </c>
      <c r="H23" s="7">
        <v>6</v>
      </c>
      <c r="I23" s="10" t="s">
        <v>42</v>
      </c>
      <c r="J23" s="11">
        <v>17</v>
      </c>
      <c r="K23" s="11"/>
      <c r="L23" s="11"/>
      <c r="M23" s="11"/>
      <c r="N23" s="11"/>
      <c r="O23" s="11"/>
      <c r="P23" s="11"/>
      <c r="Q23" s="11"/>
      <c r="R23" s="11"/>
      <c r="S23" s="11"/>
    </row>
    <row r="24" spans="1:19" s="12" customFormat="1" ht="45" x14ac:dyDescent="0.2">
      <c r="A24" s="13">
        <v>410</v>
      </c>
      <c r="B24" s="8">
        <v>46175</v>
      </c>
      <c r="C24" s="9" t="s">
        <v>39</v>
      </c>
      <c r="D24" s="14" t="s">
        <v>2</v>
      </c>
      <c r="E24" s="14"/>
      <c r="F24" s="15" t="s">
        <v>40</v>
      </c>
      <c r="G24" s="10" t="s">
        <v>41</v>
      </c>
      <c r="H24" s="7">
        <v>3</v>
      </c>
      <c r="I24" s="10" t="s">
        <v>42</v>
      </c>
      <c r="J24" s="11">
        <v>3</v>
      </c>
      <c r="K24" s="11"/>
      <c r="L24" s="11"/>
      <c r="M24" s="11"/>
      <c r="N24" s="11"/>
      <c r="O24" s="11"/>
      <c r="P24" s="11"/>
      <c r="Q24" s="11"/>
      <c r="R24" s="11"/>
      <c r="S24" s="11"/>
    </row>
    <row r="25" spans="1:19" s="12" customFormat="1" ht="45" x14ac:dyDescent="0.2">
      <c r="A25" s="13">
        <v>412</v>
      </c>
      <c r="B25" s="8">
        <v>46175</v>
      </c>
      <c r="C25" s="9" t="s">
        <v>39</v>
      </c>
      <c r="D25" s="14" t="s">
        <v>0</v>
      </c>
      <c r="E25" s="14">
        <v>369</v>
      </c>
      <c r="F25" s="15" t="s">
        <v>40</v>
      </c>
      <c r="G25" s="10" t="s">
        <v>41</v>
      </c>
      <c r="H25" s="7">
        <v>6</v>
      </c>
      <c r="I25" s="10" t="s">
        <v>42</v>
      </c>
      <c r="J25" s="11">
        <v>17</v>
      </c>
      <c r="K25" s="11"/>
      <c r="L25" s="11"/>
      <c r="M25" s="11"/>
      <c r="N25" s="11"/>
      <c r="O25" s="11"/>
      <c r="P25" s="11"/>
      <c r="Q25" s="11"/>
      <c r="R25" s="11"/>
      <c r="S25" s="11"/>
    </row>
    <row r="26" spans="1:19" s="12" customFormat="1" ht="45" x14ac:dyDescent="0.2">
      <c r="A26" s="13">
        <v>412</v>
      </c>
      <c r="B26" s="8">
        <v>46175</v>
      </c>
      <c r="C26" s="9" t="s">
        <v>39</v>
      </c>
      <c r="D26" s="14" t="s">
        <v>2</v>
      </c>
      <c r="E26" s="14"/>
      <c r="F26" s="15" t="s">
        <v>40</v>
      </c>
      <c r="G26" s="10" t="s">
        <v>41</v>
      </c>
      <c r="H26" s="7">
        <v>3</v>
      </c>
      <c r="I26" s="10" t="s">
        <v>42</v>
      </c>
      <c r="J26" s="11">
        <v>3</v>
      </c>
      <c r="K26" s="11"/>
      <c r="L26" s="11"/>
      <c r="M26" s="11"/>
      <c r="N26" s="11"/>
      <c r="O26" s="11"/>
      <c r="P26" s="11"/>
      <c r="Q26" s="11"/>
      <c r="R26" s="11"/>
      <c r="S26" s="11"/>
    </row>
    <row r="27" spans="1:19" s="12" customFormat="1" ht="15" x14ac:dyDescent="0.2">
      <c r="A27" s="13">
        <v>502</v>
      </c>
      <c r="B27" s="8">
        <v>46175</v>
      </c>
      <c r="C27" s="9" t="s">
        <v>44</v>
      </c>
      <c r="D27" s="14" t="s">
        <v>45</v>
      </c>
      <c r="E27" s="14">
        <v>3310</v>
      </c>
      <c r="F27" s="15"/>
      <c r="G27" s="10" t="s">
        <v>46</v>
      </c>
      <c r="H27" s="7">
        <v>10</v>
      </c>
      <c r="I27" s="10" t="s">
        <v>47</v>
      </c>
      <c r="J27" s="11">
        <v>11</v>
      </c>
      <c r="K27" s="11"/>
      <c r="L27" s="11"/>
      <c r="M27" s="11"/>
      <c r="N27" s="11"/>
      <c r="O27" s="11"/>
      <c r="P27" s="11"/>
      <c r="Q27" s="11"/>
      <c r="R27" s="11"/>
      <c r="S27" s="11"/>
    </row>
    <row r="28" spans="1:19" s="12" customFormat="1" ht="105" x14ac:dyDescent="0.25">
      <c r="A28" s="7">
        <v>505</v>
      </c>
      <c r="B28" s="8">
        <v>46175</v>
      </c>
      <c r="C28" s="19" t="s">
        <v>59</v>
      </c>
      <c r="D28" s="7" t="s">
        <v>0</v>
      </c>
      <c r="E28" s="17">
        <v>7</v>
      </c>
      <c r="F28" s="16" t="s">
        <v>50</v>
      </c>
      <c r="G28" s="10" t="s">
        <v>51</v>
      </c>
      <c r="H28" s="7">
        <v>10</v>
      </c>
      <c r="I28" s="10" t="s">
        <v>60</v>
      </c>
      <c r="J28" s="11">
        <v>11</v>
      </c>
      <c r="K28" s="11"/>
      <c r="L28" s="11"/>
      <c r="M28" s="11"/>
      <c r="N28" s="11"/>
      <c r="O28" s="11"/>
      <c r="P28" s="11"/>
      <c r="Q28" s="11"/>
      <c r="R28" s="11"/>
      <c r="S28" s="11"/>
    </row>
    <row r="29" spans="1:19" s="12" customFormat="1" ht="45" x14ac:dyDescent="0.2">
      <c r="A29" s="13">
        <v>507</v>
      </c>
      <c r="B29" s="8">
        <v>46175</v>
      </c>
      <c r="C29" s="9" t="s">
        <v>48</v>
      </c>
      <c r="D29" s="14" t="s">
        <v>0</v>
      </c>
      <c r="E29" s="14">
        <v>738</v>
      </c>
      <c r="F29" s="15" t="s">
        <v>24</v>
      </c>
      <c r="G29" s="10" t="s">
        <v>25</v>
      </c>
      <c r="H29" s="7">
        <v>25</v>
      </c>
      <c r="I29" s="10" t="s">
        <v>26</v>
      </c>
      <c r="J29" s="11">
        <v>30</v>
      </c>
      <c r="K29" s="11"/>
      <c r="L29" s="11"/>
      <c r="M29" s="11"/>
      <c r="N29" s="11"/>
      <c r="O29" s="11"/>
      <c r="P29" s="11"/>
      <c r="Q29" s="11"/>
      <c r="R29" s="11"/>
      <c r="S29" s="11"/>
    </row>
    <row r="30" spans="1:19" s="12" customFormat="1" ht="45" x14ac:dyDescent="0.2">
      <c r="A30" s="13">
        <v>507</v>
      </c>
      <c r="B30" s="8">
        <v>46175</v>
      </c>
      <c r="C30" s="9" t="s">
        <v>48</v>
      </c>
      <c r="D30" s="14" t="s">
        <v>2</v>
      </c>
      <c r="E30" s="14"/>
      <c r="F30" s="15" t="s">
        <v>24</v>
      </c>
      <c r="G30" s="10" t="s">
        <v>25</v>
      </c>
      <c r="H30" s="7"/>
      <c r="I30" s="10" t="s">
        <v>76</v>
      </c>
      <c r="J30" s="11">
        <v>3</v>
      </c>
      <c r="K30" s="11">
        <v>3</v>
      </c>
      <c r="L30" s="11">
        <v>3</v>
      </c>
      <c r="M30" s="11"/>
      <c r="N30" s="11"/>
      <c r="O30" s="11"/>
      <c r="P30" s="11"/>
      <c r="Q30" s="11"/>
      <c r="R30" s="11"/>
      <c r="S30" s="11"/>
    </row>
    <row r="31" spans="1:19" s="12" customFormat="1" ht="31.5" customHeight="1" x14ac:dyDescent="0.2">
      <c r="A31" s="13">
        <v>507</v>
      </c>
      <c r="B31" s="8">
        <v>46175</v>
      </c>
      <c r="C31" s="9" t="s">
        <v>49</v>
      </c>
      <c r="D31" s="14" t="s">
        <v>45</v>
      </c>
      <c r="E31" s="14">
        <v>3310</v>
      </c>
      <c r="F31" s="15"/>
      <c r="G31" s="10" t="s">
        <v>46</v>
      </c>
      <c r="H31" s="7">
        <v>10</v>
      </c>
      <c r="I31" s="10" t="s">
        <v>47</v>
      </c>
      <c r="J31" s="11">
        <v>11</v>
      </c>
      <c r="K31" s="11"/>
      <c r="L31" s="11"/>
      <c r="M31" s="11"/>
      <c r="N31" s="11"/>
      <c r="O31" s="11"/>
      <c r="P31" s="11"/>
      <c r="Q31" s="11"/>
      <c r="R31" s="11"/>
      <c r="S31" s="11"/>
    </row>
    <row r="32" spans="1:19" s="12" customFormat="1" ht="75" x14ac:dyDescent="0.2">
      <c r="A32" s="13">
        <v>602</v>
      </c>
      <c r="B32" s="8">
        <v>46175</v>
      </c>
      <c r="C32" s="9" t="s">
        <v>75</v>
      </c>
      <c r="D32" s="14" t="s">
        <v>2</v>
      </c>
      <c r="E32" s="14"/>
      <c r="F32" s="15" t="s">
        <v>69</v>
      </c>
      <c r="G32" s="10" t="s">
        <v>37</v>
      </c>
      <c r="H32" s="7">
        <v>3</v>
      </c>
      <c r="I32" s="10" t="s">
        <v>70</v>
      </c>
      <c r="J32" s="11">
        <v>3</v>
      </c>
      <c r="K32" s="11">
        <v>3</v>
      </c>
      <c r="L32" s="11">
        <v>3</v>
      </c>
      <c r="M32" s="11"/>
      <c r="N32" s="11"/>
      <c r="O32" s="11"/>
      <c r="P32" s="11"/>
      <c r="Q32" s="11"/>
      <c r="R32" s="11"/>
      <c r="S32" s="11"/>
    </row>
    <row r="33" spans="1:19" s="12" customFormat="1" ht="75" x14ac:dyDescent="0.2">
      <c r="A33" s="13">
        <v>605</v>
      </c>
      <c r="B33" s="8">
        <v>46175</v>
      </c>
      <c r="C33" s="9" t="s">
        <v>75</v>
      </c>
      <c r="D33" s="14" t="s">
        <v>2</v>
      </c>
      <c r="E33" s="14"/>
      <c r="F33" s="15" t="s">
        <v>69</v>
      </c>
      <c r="G33" s="10" t="s">
        <v>37</v>
      </c>
      <c r="H33" s="7">
        <v>3</v>
      </c>
      <c r="I33" s="10" t="s">
        <v>70</v>
      </c>
      <c r="J33" s="11">
        <v>3</v>
      </c>
      <c r="K33" s="11"/>
      <c r="L33" s="11"/>
      <c r="M33" s="11"/>
      <c r="N33" s="11"/>
      <c r="O33" s="11"/>
      <c r="P33" s="11"/>
      <c r="Q33" s="11"/>
      <c r="R33" s="11"/>
      <c r="S33" s="11"/>
    </row>
    <row r="34" spans="1:19" s="12" customFormat="1" ht="105" x14ac:dyDescent="0.25">
      <c r="A34" s="7">
        <v>612</v>
      </c>
      <c r="B34" s="8">
        <v>46175</v>
      </c>
      <c r="C34" s="19" t="s">
        <v>59</v>
      </c>
      <c r="D34" s="7" t="s">
        <v>0</v>
      </c>
      <c r="E34" s="17">
        <v>7</v>
      </c>
      <c r="F34" s="16" t="s">
        <v>50</v>
      </c>
      <c r="G34" s="10" t="s">
        <v>51</v>
      </c>
      <c r="H34" s="7">
        <v>10</v>
      </c>
      <c r="I34" s="10" t="s">
        <v>60</v>
      </c>
      <c r="J34" s="11">
        <v>11</v>
      </c>
      <c r="K34" s="11"/>
      <c r="L34" s="11"/>
      <c r="M34" s="11"/>
      <c r="N34" s="11"/>
      <c r="O34" s="11"/>
      <c r="P34" s="11"/>
      <c r="Q34" s="11"/>
      <c r="R34" s="11"/>
      <c r="S34" s="11"/>
    </row>
    <row r="35" spans="1:19" s="12" customFormat="1" ht="105" x14ac:dyDescent="0.25">
      <c r="A35" s="7">
        <v>613</v>
      </c>
      <c r="B35" s="8">
        <v>46175</v>
      </c>
      <c r="C35" s="19" t="s">
        <v>59</v>
      </c>
      <c r="D35" s="7" t="s">
        <v>0</v>
      </c>
      <c r="E35" s="17">
        <v>7</v>
      </c>
      <c r="F35" s="20" t="s">
        <v>50</v>
      </c>
      <c r="G35" s="10" t="s">
        <v>51</v>
      </c>
      <c r="H35" s="7">
        <v>10</v>
      </c>
      <c r="I35" s="10" t="s">
        <v>60</v>
      </c>
      <c r="J35" s="11">
        <v>11</v>
      </c>
      <c r="K35" s="11"/>
      <c r="L35" s="11"/>
      <c r="M35" s="11"/>
      <c r="N35" s="11"/>
      <c r="O35" s="11"/>
      <c r="P35" s="11"/>
      <c r="Q35" s="11"/>
      <c r="R35" s="11"/>
      <c r="S35" s="11"/>
    </row>
    <row r="36" spans="1:19" s="12" customFormat="1" x14ac:dyDescent="0.2">
      <c r="A36" s="11"/>
      <c r="B36" s="11"/>
      <c r="C36" s="11"/>
      <c r="D36" s="11"/>
      <c r="E36" s="2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 x14ac:dyDescent="0.2">
      <c r="A37" s="5"/>
      <c r="B37" s="5"/>
      <c r="C37" s="5"/>
      <c r="D37" s="5"/>
      <c r="E37" s="6"/>
      <c r="F37" s="5"/>
      <c r="G37" s="5"/>
      <c r="H37" s="5"/>
      <c r="I37" s="5"/>
      <c r="J37" s="5">
        <f t="shared" ref="J37:O37" si="0">SUM(J2:J35)</f>
        <v>444</v>
      </c>
      <c r="K37" s="5">
        <f t="shared" si="0"/>
        <v>165</v>
      </c>
      <c r="L37" s="5">
        <f t="shared" si="0"/>
        <v>10</v>
      </c>
      <c r="M37" s="5">
        <f t="shared" si="0"/>
        <v>0</v>
      </c>
      <c r="N37" s="5">
        <f t="shared" si="0"/>
        <v>80</v>
      </c>
      <c r="O37" s="5">
        <f t="shared" si="0"/>
        <v>0</v>
      </c>
      <c r="P37" s="5">
        <v>0</v>
      </c>
      <c r="Q37" s="5">
        <f>SUM(Q2:Q35)</f>
        <v>30</v>
      </c>
      <c r="R37" s="5">
        <f>SUM(R2:R35)</f>
        <v>8</v>
      </c>
      <c r="S37" s="5">
        <f>SUM(S2:S35)</f>
        <v>37</v>
      </c>
    </row>
    <row r="38" spans="1:19" x14ac:dyDescent="0.2">
      <c r="A38" s="5"/>
      <c r="B38" s="5"/>
      <c r="C38" s="5"/>
      <c r="D38" s="5"/>
      <c r="E38" s="6"/>
      <c r="F38" s="5"/>
      <c r="G38" s="5"/>
      <c r="H38" s="5">
        <v>323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x14ac:dyDescent="0.2">
      <c r="A39" s="5"/>
      <c r="B39" s="5"/>
      <c r="C39" s="5"/>
      <c r="D39" s="5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x14ac:dyDescent="0.2">
      <c r="A40" s="5"/>
      <c r="B40" s="5"/>
      <c r="C40" s="5"/>
      <c r="D40" s="5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x14ac:dyDescent="0.2">
      <c r="A41" s="5"/>
      <c r="B41" s="5"/>
      <c r="C41" s="5"/>
      <c r="D41" s="5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x14ac:dyDescent="0.2">
      <c r="A42" s="5"/>
      <c r="B42" s="5"/>
      <c r="C42" s="5"/>
      <c r="D42" s="5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x14ac:dyDescent="0.2">
      <c r="A43" s="5"/>
      <c r="B43" s="5"/>
      <c r="C43" s="5"/>
      <c r="D43" s="5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x14ac:dyDescent="0.2">
      <c r="A44" s="5"/>
      <c r="B44" s="5"/>
      <c r="C44" s="5"/>
      <c r="D44" s="5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x14ac:dyDescent="0.2">
      <c r="A45" s="5"/>
      <c r="B45" s="5"/>
      <c r="C45" s="5"/>
      <c r="D45" s="5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x14ac:dyDescent="0.2">
      <c r="A46" s="5"/>
      <c r="B46" s="5"/>
      <c r="C46" s="5"/>
      <c r="D46" s="5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x14ac:dyDescent="0.2">
      <c r="A47" s="5"/>
      <c r="B47" s="5"/>
      <c r="C47" s="5"/>
      <c r="D47" s="5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x14ac:dyDescent="0.2">
      <c r="A48" s="5"/>
      <c r="B48" s="5"/>
      <c r="C48" s="5"/>
      <c r="D48" s="5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x14ac:dyDescent="0.2">
      <c r="A49" s="5"/>
      <c r="B49" s="5"/>
      <c r="C49" s="5"/>
      <c r="D49" s="5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x14ac:dyDescent="0.2">
      <c r="A50" s="5"/>
      <c r="B50" s="5"/>
      <c r="C50" s="5"/>
      <c r="D50" s="5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x14ac:dyDescent="0.2">
      <c r="A51" s="5"/>
      <c r="B51" s="5"/>
      <c r="C51" s="5"/>
      <c r="D51" s="5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x14ac:dyDescent="0.2">
      <c r="A52" s="5"/>
      <c r="B52" s="5"/>
      <c r="C52" s="5"/>
      <c r="D52" s="5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x14ac:dyDescent="0.2">
      <c r="A53" s="5"/>
      <c r="B53" s="5"/>
      <c r="C53" s="5"/>
      <c r="D53" s="5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x14ac:dyDescent="0.2">
      <c r="A54" s="5"/>
      <c r="B54" s="5"/>
      <c r="C54" s="5"/>
      <c r="D54" s="5"/>
      <c r="E54" s="6"/>
      <c r="F54" s="5"/>
      <c r="G54" s="5"/>
      <c r="H54" s="5"/>
      <c r="I54" s="5"/>
      <c r="J54" s="5"/>
      <c r="K54" s="5">
        <v>6</v>
      </c>
      <c r="L54" s="5"/>
      <c r="M54" s="5"/>
      <c r="N54" s="5"/>
      <c r="O54" s="5"/>
      <c r="P54" s="5"/>
      <c r="Q54" s="5"/>
      <c r="R54" s="5"/>
      <c r="S54" s="5"/>
    </row>
    <row r="55" spans="1:19" x14ac:dyDescent="0.2">
      <c r="A55" s="5"/>
      <c r="B55" s="5"/>
      <c r="C55" s="5"/>
      <c r="D55" s="5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x14ac:dyDescent="0.2">
      <c r="A56" s="5"/>
      <c r="B56" s="5"/>
      <c r="C56" s="5"/>
      <c r="D56" s="5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x14ac:dyDescent="0.2">
      <c r="A57" s="5"/>
      <c r="B57" s="5"/>
      <c r="C57" s="5"/>
      <c r="D57" s="5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x14ac:dyDescent="0.2">
      <c r="A58" s="5"/>
      <c r="B58" s="5"/>
      <c r="C58" s="5"/>
      <c r="D58" s="5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x14ac:dyDescent="0.2">
      <c r="A59" s="5"/>
      <c r="B59" s="5"/>
      <c r="C59" s="5"/>
      <c r="D59" s="5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x14ac:dyDescent="0.2">
      <c r="A60" s="5"/>
      <c r="B60" s="5"/>
      <c r="C60" s="5"/>
      <c r="D60" s="5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x14ac:dyDescent="0.2">
      <c r="A61" s="5"/>
      <c r="B61" s="5"/>
      <c r="C61" s="5"/>
      <c r="D61" s="5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x14ac:dyDescent="0.2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x14ac:dyDescent="0.2">
      <c r="A63" s="5"/>
      <c r="B63" s="5"/>
      <c r="C63" s="5"/>
      <c r="D63" s="5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1:19" x14ac:dyDescent="0.2">
      <c r="A64" s="5"/>
      <c r="B64" s="5"/>
      <c r="C64" s="5"/>
      <c r="D64" s="5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 x14ac:dyDescent="0.2">
      <c r="A65" s="5"/>
      <c r="B65" s="5"/>
      <c r="C65" s="5"/>
      <c r="D65" s="5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1:19" x14ac:dyDescent="0.2">
      <c r="A66" s="5"/>
      <c r="B66" s="5"/>
      <c r="C66" s="5"/>
      <c r="D66" s="5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1:19" x14ac:dyDescent="0.2">
      <c r="A67" s="5"/>
      <c r="B67" s="5"/>
      <c r="C67" s="5"/>
      <c r="D67" s="5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 x14ac:dyDescent="0.2">
      <c r="A68" s="5"/>
      <c r="B68" s="5"/>
      <c r="C68" s="5"/>
      <c r="D68" s="5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1:19" x14ac:dyDescent="0.2">
      <c r="A69" s="5"/>
      <c r="B69" s="5"/>
      <c r="C69" s="5"/>
      <c r="D69" s="5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 x14ac:dyDescent="0.2">
      <c r="A70" s="5"/>
      <c r="B70" s="5"/>
      <c r="C70" s="5"/>
      <c r="D70" s="5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1:19" x14ac:dyDescent="0.2">
      <c r="A71" s="5"/>
      <c r="B71" s="5"/>
      <c r="C71" s="5"/>
      <c r="D71" s="5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 x14ac:dyDescent="0.2">
      <c r="A72" s="5"/>
      <c r="B72" s="5"/>
      <c r="C72" s="5"/>
      <c r="D72" s="5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 x14ac:dyDescent="0.2">
      <c r="A73" s="5"/>
      <c r="B73" s="5"/>
      <c r="C73" s="5"/>
      <c r="D73" s="5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 x14ac:dyDescent="0.2">
      <c r="A74" s="5"/>
      <c r="B74" s="5"/>
      <c r="C74" s="5"/>
      <c r="D74" s="5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 x14ac:dyDescent="0.2">
      <c r="A75" s="5"/>
      <c r="B75" s="5"/>
      <c r="C75" s="5"/>
      <c r="D75" s="5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1:19" x14ac:dyDescent="0.2">
      <c r="A76" s="5"/>
      <c r="B76" s="5"/>
      <c r="C76" s="5"/>
      <c r="D76" s="5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 x14ac:dyDescent="0.2">
      <c r="A77" s="5"/>
      <c r="B77" s="5"/>
      <c r="C77" s="5"/>
      <c r="D77" s="5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x14ac:dyDescent="0.2">
      <c r="A78" s="5"/>
      <c r="B78" s="5"/>
      <c r="C78" s="5"/>
      <c r="D78" s="5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1:19" x14ac:dyDescent="0.2">
      <c r="A79" s="5"/>
      <c r="B79" s="5"/>
      <c r="C79" s="5"/>
      <c r="D79" s="5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 x14ac:dyDescent="0.2">
      <c r="A80" s="5"/>
      <c r="B80" s="5"/>
      <c r="C80" s="5"/>
      <c r="D80" s="5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1:19" x14ac:dyDescent="0.2">
      <c r="A81" s="5"/>
      <c r="B81" s="5"/>
      <c r="C81" s="5"/>
      <c r="D81" s="5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19" x14ac:dyDescent="0.2">
      <c r="A82" s="5"/>
      <c r="B82" s="5"/>
      <c r="C82" s="5"/>
      <c r="D82" s="5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 x14ac:dyDescent="0.2">
      <c r="A83" s="5"/>
      <c r="B83" s="5"/>
      <c r="C83" s="5"/>
      <c r="D83" s="5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1:19" x14ac:dyDescent="0.2">
      <c r="A84" s="5"/>
      <c r="B84" s="5"/>
      <c r="C84" s="5"/>
      <c r="D84" s="5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1:19" x14ac:dyDescent="0.2">
      <c r="A85" s="5"/>
      <c r="B85" s="5"/>
      <c r="C85" s="5"/>
      <c r="D85" s="5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 x14ac:dyDescent="0.2">
      <c r="A86" s="5"/>
      <c r="B86" s="5"/>
      <c r="C86" s="5"/>
      <c r="D86" s="5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 x14ac:dyDescent="0.2">
      <c r="A87" s="5"/>
      <c r="B87" s="5"/>
      <c r="C87" s="5"/>
      <c r="D87" s="5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 x14ac:dyDescent="0.2">
      <c r="A88" s="5"/>
      <c r="B88" s="5"/>
      <c r="C88" s="5"/>
      <c r="D88" s="5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x14ac:dyDescent="0.2">
      <c r="A89" s="5"/>
      <c r="B89" s="5"/>
      <c r="C89" s="5"/>
      <c r="D89" s="5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x14ac:dyDescent="0.2">
      <c r="A90" s="5"/>
      <c r="B90" s="5"/>
      <c r="C90" s="5"/>
      <c r="D90" s="5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x14ac:dyDescent="0.2">
      <c r="A91" s="5"/>
      <c r="B91" s="5"/>
      <c r="C91" s="5"/>
      <c r="D91" s="5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1:19" x14ac:dyDescent="0.2">
      <c r="A92" s="5"/>
      <c r="B92" s="5"/>
      <c r="C92" s="5"/>
      <c r="D92" s="5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 x14ac:dyDescent="0.2">
      <c r="A93" s="5"/>
      <c r="B93" s="5"/>
      <c r="C93" s="5"/>
      <c r="D93" s="5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x14ac:dyDescent="0.2">
      <c r="A94" s="5"/>
      <c r="B94" s="5"/>
      <c r="C94" s="5"/>
      <c r="D94" s="5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1:19" x14ac:dyDescent="0.2">
      <c r="A95" s="5"/>
      <c r="B95" s="5"/>
      <c r="C95" s="5"/>
      <c r="D95" s="5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1:19" x14ac:dyDescent="0.2">
      <c r="A96" s="5"/>
      <c r="B96" s="5"/>
      <c r="C96" s="5"/>
      <c r="D96" s="5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19" x14ac:dyDescent="0.2">
      <c r="A97" s="5"/>
      <c r="B97" s="5"/>
      <c r="C97" s="5"/>
      <c r="D97" s="5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x14ac:dyDescent="0.2">
      <c r="A98" s="5"/>
      <c r="B98" s="5"/>
      <c r="C98" s="5"/>
      <c r="D98" s="5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1:19" x14ac:dyDescent="0.2">
      <c r="A99" s="5"/>
      <c r="B99" s="5"/>
      <c r="C99" s="5"/>
      <c r="D99" s="5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1:19" x14ac:dyDescent="0.2">
      <c r="A100" s="5"/>
      <c r="B100" s="5"/>
      <c r="C100" s="5"/>
      <c r="D100" s="5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19" x14ac:dyDescent="0.2">
      <c r="A101" s="5"/>
      <c r="B101" s="5"/>
      <c r="C101" s="5"/>
      <c r="D101" s="5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1:19" x14ac:dyDescent="0.2">
      <c r="A102" s="5"/>
      <c r="B102" s="5"/>
      <c r="C102" s="5"/>
      <c r="D102" s="5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1:19" x14ac:dyDescent="0.2">
      <c r="A103" s="5"/>
      <c r="B103" s="5"/>
      <c r="C103" s="5"/>
      <c r="D103" s="5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1:19" x14ac:dyDescent="0.2">
      <c r="A104" s="5"/>
      <c r="B104" s="5"/>
      <c r="C104" s="5"/>
      <c r="D104" s="5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</sheetData>
  <pageMargins left="0.31" right="0.22" top="0.46" bottom="0.45" header="0.3" footer="0.3"/>
  <pageSetup paperSize="9" scale="56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Потоцкая Наталия Мирославовна</dc:creator>
  <cp:lastModifiedBy>Потоцкая Наталия Мирославовна</cp:lastModifiedBy>
  <cp:lastPrinted>2026-06-02T11:45:18Z</cp:lastPrinted>
  <dcterms:created xsi:type="dcterms:W3CDTF">2015-06-05T18:19:34Z</dcterms:created>
  <dcterms:modified xsi:type="dcterms:W3CDTF">2026-06-02T12:02:36Z</dcterms:modified>
</cp:coreProperties>
</file>